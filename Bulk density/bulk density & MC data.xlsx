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irecaster/Downloads/"/>
    </mc:Choice>
  </mc:AlternateContent>
  <xr:revisionPtr revIDLastSave="0" documentId="13_ncr:1_{6D8B9858-A8F8-A949-8D83-FE39CF940CDC}" xr6:coauthVersionLast="47" xr6:coauthVersionMax="47" xr10:uidLastSave="{00000000-0000-0000-0000-000000000000}"/>
  <bookViews>
    <workbookView xWindow="0" yWindow="660" windowWidth="30240" windowHeight="18980" tabRatio="783" xr2:uid="{4CDCF8AC-F2BC-480F-9220-6E31038D9CBE}"/>
  </bookViews>
  <sheets>
    <sheet name="MC" sheetId="14" r:id="rId1"/>
    <sheet name="MC plot" sheetId="15" r:id="rId2"/>
    <sheet name="twig bulk density (raw)" sheetId="38" r:id="rId3"/>
    <sheet name="stringybark bulk density (raw)" sheetId="37" r:id="rId4"/>
    <sheet name="twig bulk density" sheetId="34" r:id="rId5"/>
    <sheet name="stringybark bulk density" sheetId="33" r:id="rId6"/>
    <sheet name="candle bark density (raw)" sheetId="36" r:id="rId7"/>
    <sheet name="candle bark density" sheetId="35" r:id="rId8"/>
  </sheets>
  <definedNames>
    <definedName name="_xlchart.v1.0" hidden="1">'MC plot'!$B$10:$G$10</definedName>
    <definedName name="_xlchart.v1.1" hidden="1">'MC plot'!$B$11:$G$11</definedName>
    <definedName name="_xlchart.v1.10" hidden="1">'MC plot'!$B$7:$G$7</definedName>
    <definedName name="_xlchart.v1.11" hidden="1">'MC plot'!$B$8:$G$8</definedName>
    <definedName name="_xlchart.v1.12" hidden="1">'MC plot'!$B$9:$G$9</definedName>
    <definedName name="_xlchart.v1.2" hidden="1">'MC plot'!$B$12:$G$12</definedName>
    <definedName name="_xlchart.v1.3" hidden="1">'MC plot'!$B$13:$G$13</definedName>
    <definedName name="_xlchart.v1.4" hidden="1">'MC plot'!$B$1:$G$1</definedName>
    <definedName name="_xlchart.v1.5" hidden="1">'MC plot'!$B$2:$G$2</definedName>
    <definedName name="_xlchart.v1.6" hidden="1">'MC plot'!$B$3:$G$3</definedName>
    <definedName name="_xlchart.v1.7" hidden="1">'MC plot'!$B$4:$G$4</definedName>
    <definedName name="_xlchart.v1.8" hidden="1">'MC plot'!$B$5:$G$5</definedName>
    <definedName name="_xlchart.v1.9" hidden="1">'MC plot'!$B$6:$G$6</definedName>
    <definedName name="ExternalData_1" localSheetId="5" hidden="1">'stringybark bulk density'!$A$1:$H$55</definedName>
    <definedName name="ExternalData_1" localSheetId="4" hidden="1">'twig bulk density'!$A$1:$H$28</definedName>
    <definedName name="ExternalData_2" localSheetId="7" hidden="1">'candle bark density'!$A$1:$H$13</definedName>
    <definedName name="ExternalData_3" localSheetId="6" hidden="1">'candle bark density (raw)'!$A$1:$G$11</definedName>
    <definedName name="ExternalData_4" localSheetId="3" hidden="1">'stringybark bulk density (raw)'!$A$1:$G$55</definedName>
    <definedName name="ExternalData_5" localSheetId="2" hidden="1">'twig bulk density (raw)'!$A$1:$G$28</definedName>
    <definedName name="_xlnm.Print_Area" localSheetId="5">'stringybark bulk density'!$A$1:$H$55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4" l="1"/>
  <c r="H3" i="34"/>
  <c r="H4" i="34"/>
  <c r="H5" i="34"/>
  <c r="H6" i="34"/>
  <c r="H7" i="34"/>
  <c r="H8" i="34"/>
  <c r="H9" i="34"/>
  <c r="H10" i="34"/>
  <c r="H21" i="34"/>
  <c r="H22" i="34"/>
  <c r="H23" i="34"/>
  <c r="H24" i="34"/>
  <c r="H25" i="34"/>
  <c r="H26" i="34"/>
  <c r="H27" i="34"/>
  <c r="H28" i="34"/>
  <c r="H20" i="34"/>
  <c r="H12" i="34"/>
  <c r="H13" i="34"/>
  <c r="H14" i="34"/>
  <c r="H15" i="34"/>
  <c r="H16" i="34"/>
  <c r="H17" i="34"/>
  <c r="H18" i="34"/>
  <c r="H19" i="34"/>
  <c r="H11" i="34"/>
  <c r="G37" i="14"/>
  <c r="H37" i="14" s="1"/>
  <c r="G36" i="14"/>
  <c r="H36" i="14" s="1"/>
  <c r="G35" i="14"/>
  <c r="H35" i="14" s="1"/>
  <c r="G34" i="14"/>
  <c r="H34" i="14" s="1"/>
  <c r="G33" i="14"/>
  <c r="H33" i="14"/>
  <c r="G32" i="14"/>
  <c r="H32" i="14" s="1"/>
  <c r="G31" i="14"/>
  <c r="H31" i="14" s="1"/>
  <c r="G30" i="14"/>
  <c r="H30" i="14" s="1"/>
  <c r="G29" i="14"/>
  <c r="H29" i="14" s="1"/>
  <c r="G28" i="14"/>
  <c r="H28" i="14" s="1"/>
  <c r="G27" i="14"/>
  <c r="H27" i="14" s="1"/>
  <c r="G26" i="14"/>
  <c r="H26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G25" i="14"/>
  <c r="H25" i="14" s="1"/>
  <c r="G24" i="14"/>
  <c r="H24" i="14" s="1"/>
  <c r="G23" i="14"/>
  <c r="H23" i="14"/>
  <c r="G22" i="14"/>
  <c r="H22" i="14" s="1"/>
  <c r="G21" i="14"/>
  <c r="H21" i="14" s="1"/>
  <c r="G20" i="14"/>
  <c r="H20" i="14"/>
  <c r="G19" i="14"/>
  <c r="H19" i="14" s="1"/>
  <c r="G18" i="14"/>
  <c r="H18" i="14" s="1"/>
  <c r="G17" i="14"/>
  <c r="H17" i="14" s="1"/>
  <c r="G16" i="14"/>
  <c r="H16" i="14" s="1"/>
  <c r="G15" i="14"/>
  <c r="H15" i="14" s="1"/>
  <c r="G14" i="14"/>
  <c r="H14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G3" i="14"/>
  <c r="G4" i="14"/>
  <c r="G5" i="14"/>
  <c r="G6" i="14"/>
  <c r="G7" i="14"/>
  <c r="G8" i="14"/>
  <c r="G9" i="14"/>
  <c r="G10" i="14"/>
  <c r="G11" i="14"/>
  <c r="G12" i="14"/>
  <c r="G13" i="14"/>
  <c r="G2" i="14"/>
  <c r="E3" i="14"/>
  <c r="H3" i="14" s="1"/>
  <c r="E4" i="14"/>
  <c r="H4" i="14" s="1"/>
  <c r="E5" i="14"/>
  <c r="H5" i="14" s="1"/>
  <c r="E6" i="14"/>
  <c r="H6" i="14" s="1"/>
  <c r="E7" i="14"/>
  <c r="H7" i="14" s="1"/>
  <c r="E8" i="14"/>
  <c r="H8" i="14" s="1"/>
  <c r="E9" i="14"/>
  <c r="H9" i="14" s="1"/>
  <c r="E10" i="14"/>
  <c r="H10" i="14" s="1"/>
  <c r="E11" i="14"/>
  <c r="H11" i="14" s="1"/>
  <c r="E12" i="14"/>
  <c r="H12" i="14" s="1"/>
  <c r="E13" i="14"/>
  <c r="H13" i="14" s="1"/>
  <c r="E2" i="14"/>
  <c r="H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F5EE53-CE94-4411-89DA-BA757282070E}" keepAlive="1" name="Query - 0408_13" description="Connection to the '0408_13' query in the workbook." type="5" refreshedVersion="0" background="1" saveData="1">
    <dbPr connection="Provider=Microsoft.Mashup.OleDb.1;Data Source=$Workbook$;Location=0408_13;Extended Properties=&quot;&quot;" command="SELECT * FROM [0408_13]"/>
  </connection>
  <connection id="2" xr16:uid="{ECB842AC-81D5-438F-BB8E-20BE2E4D9526}" keepAlive="1" name="Query - Acacia" description="Connection to the 'Acacia' query in the workbook." type="5" refreshedVersion="8" background="1" saveData="1">
    <dbPr connection="Provider=Microsoft.Mashup.OleDb.1;Data Source=$Workbook$;Location=Acacia;Extended Properties=&quot;&quot;" command="SELECT * FROM [Acacia]"/>
  </connection>
  <connection id="3" xr16:uid="{79AA5FBB-6A28-4ABE-8B5D-81998CC2CB16}" keepAlive="1" name="Query - Acacia (2)" description="Connection to the 'Acacia (2)' query in the workbook." type="5" refreshedVersion="8" background="1" saveData="1">
    <dbPr connection="Provider=Microsoft.Mashup.OleDb.1;Data Source=$Workbook$;Location=&quot;Acacia (2)&quot;;Extended Properties=&quot;&quot;" command="SELECT * FROM [Acacia (2)]"/>
  </connection>
  <connection id="4" xr16:uid="{AC84EE20-D89C-43A9-B42A-3F66CE1F6E73}" keepAlive="1" name="Query - candle bark density (raw)" description="Connection to the 'candle bark density (raw)' query in the workbook." type="5" refreshedVersion="8" background="1" saveData="1">
    <dbPr connection="Provider=Microsoft.Mashup.OleDb.1;Data Source=$Workbook$;Location=&quot;candle bark density (raw)&quot;;Extended Properties=&quot;&quot;" command="SELECT * FROM [candle bark density (raw)]"/>
  </connection>
  <connection id="5" xr16:uid="{2EEC82BF-45CD-44D1-A4A7-C26AB26ABDB6}" keepAlive="1" name="Query - candle bark density (raw) (2)" description="Connection to the 'candle bark density (raw) (2)' query in the workbook." type="5" refreshedVersion="8" background="1" saveData="1">
    <dbPr connection="Provider=Microsoft.Mashup.OleDb.1;Data Source=$Workbook$;Location=&quot;candle bark density (raw) (2)&quot;;Extended Properties=&quot;&quot;" command="SELECT * FROM [candle bark density (raw) (2)]"/>
  </connection>
  <connection id="6" xr16:uid="{9BB034FF-A158-4CE5-81C1-C20D06B8AA4B}" keepAlive="1" name="Query - Exp  6 100kW C1" description="Connection to the 'Exp  6 100kW C1' query in the workbook." type="5" refreshedVersion="8" background="1" saveData="1">
    <dbPr connection="Provider=Microsoft.Mashup.OleDb.1;Data Source=$Workbook$;Location=&quot;Exp  6 100kW C1&quot;;Extended Properties=&quot;&quot;" command="SELECT * FROM [Exp  6 100kW C1]"/>
  </connection>
  <connection id="7" xr16:uid="{776794F0-61CA-44CE-A0DE-BF2018E67826}" keepAlive="1" name="Query - Exp  6 100kW C1 (2)" description="Connection to the 'Exp  6 100kW C1 (2)' query in the workbook." type="5" refreshedVersion="8" background="1" saveData="1">
    <dbPr connection="Provider=Microsoft.Mashup.OleDb.1;Data Source=$Workbook$;Location=&quot;Exp  6 100kW C1 (2)&quot;;Extended Properties=&quot;&quot;" command="SELECT * FROM [Exp  6 100kW C1 (2)]"/>
  </connection>
  <connection id="8" xr16:uid="{239D21A8-7FD5-428F-98B4-4B3010ABF4F6}" keepAlive="1" name="Query - Exp  7 50kW C1" description="Connection to the 'Exp  7 50kW C1' query in the workbook." type="5" refreshedVersion="8" background="1" saveData="1">
    <dbPr connection="Provider=Microsoft.Mashup.OleDb.1;Data Source=$Workbook$;Location=&quot;Exp  7 50kW C1&quot;;Extended Properties=&quot;&quot;" command="SELECT * FROM [Exp  7 50kW C1]"/>
  </connection>
  <connection id="9" xr16:uid="{A0924402-E1FA-495B-AAC3-D0D1AEA66020}" keepAlive="1" name="Query - Exp  8 50kW C2" description="Connection to the 'Exp  8 50kW C2' query in the workbook." type="5" refreshedVersion="8" background="1" saveData="1">
    <dbPr connection="Provider=Microsoft.Mashup.OleDb.1;Data Source=$Workbook$;Location=&quot;Exp  8 50kW C2&quot;;Extended Properties=&quot;&quot;" command="SELECT * FROM [Exp  8 50kW C2]"/>
  </connection>
  <connection id="10" xr16:uid="{76ABCBF5-0E01-4E95-870E-21CF7B44DC6D}" keepAlive="1" name="Query - Exp  8 50kW C2 (2)" description="Connection to the 'Exp  8 50kW C2 (2)' query in the workbook." type="5" refreshedVersion="8" background="1" saveData="1">
    <dbPr connection="Provider=Microsoft.Mashup.OleDb.1;Data Source=$Workbook$;Location=&quot;Exp  8 50kW C2 (2)&quot;;Extended Properties=&quot;&quot;" command="SELECT * FROM [Exp  8 50kW C2 (2)]"/>
  </connection>
  <connection id="11" xr16:uid="{8A7C9DEC-F971-452A-A202-AE633A52F504}" keepAlive="1" name="Query - Exp  9 100kW C2" description="Connection to the 'Exp  9 100kW C2' query in the workbook." type="5" refreshedVersion="8" background="1" saveData="1">
    <dbPr connection="Provider=Microsoft.Mashup.OleDb.1;Data Source=$Workbook$;Location=&quot;Exp  9 100kW C2&quot;;Extended Properties=&quot;&quot;" command="SELECT * FROM [Exp  9 100kW C2]"/>
  </connection>
  <connection id="12" xr16:uid="{28153159-A04F-48E4-8FA3-644E248C9849}" keepAlive="1" name="Query - Leave" description="Connection to the 'Leave' query in the workbook." type="5" refreshedVersion="8" background="1" saveData="1">
    <dbPr connection="Provider=Microsoft.Mashup.OleDb.1;Data Source=$Workbook$;Location=Leave;Extended Properties=&quot;&quot;" command="SELECT * FROM [Leave]"/>
  </connection>
  <connection id="13" xr16:uid="{1B0797BF-8BF4-4F01-A654-9DF7B96CB4D4}" keepAlive="1" name="Query - Leave (2)" description="Connection to the 'Leave (2)' query in the workbook." type="5" refreshedVersion="8" background="1" saveData="1">
    <dbPr connection="Provider=Microsoft.Mashup.OleDb.1;Data Source=$Workbook$;Location=&quot;Leave (2)&quot;;Extended Properties=&quot;&quot;" command="SELECT * FROM [Leave (2)]"/>
  </connection>
  <connection id="14" xr16:uid="{41E195B5-5197-4CBB-BD45-D6A4BC0D5C80}" keepAlive="1" name="Query - Leave (3)" description="Connection to the 'Leave (3)' query in the workbook." type="5" refreshedVersion="8" background="1" saveData="1">
    <dbPr connection="Provider=Microsoft.Mashup.OleDb.1;Data Source=$Workbook$;Location=&quot;Leave (3)&quot;;Extended Properties=&quot;&quot;" command="SELECT * FROM [Leave (3)]"/>
  </connection>
  <connection id="15" xr16:uid="{0C140B15-C926-4A11-94FE-020C0370C6CE}" keepAlive="1" name="Query - No leave" description="Connection to the 'No leave' query in the workbook." type="5" refreshedVersion="8" background="1" saveData="1">
    <dbPr connection="Provider=Microsoft.Mashup.OleDb.1;Data Source=$Workbook$;Location=&quot;No leave&quot;;Extended Properties=&quot;&quot;" command="SELECT * FROM [No leave]"/>
  </connection>
  <connection id="16" xr16:uid="{4E21C0D1-510D-4444-9C58-19B6330AAB9C}" keepAlive="1" name="Query - No leave (2)" description="Connection to the 'No leave (2)' query in the workbook." type="5" refreshedVersion="0" background="1">
    <dbPr connection="Provider=Microsoft.Mashup.OleDb.1;Data Source=$Workbook$;Location=&quot;No leave (2)&quot;;Extended Properties=&quot;&quot;" command="SELECT * FROM [No leave (2)]"/>
  </connection>
  <connection id="17" xr16:uid="{F4F23C26-A11B-4439-90E1-3329DFE663A0}" keepAlive="1" name="Query - No leave (3)" description="Connection to the 'No leave (3)' query in the workbook." type="5" refreshedVersion="0" background="1">
    <dbPr connection="Provider=Microsoft.Mashup.OleDb.1;Data Source=$Workbook$;Location=&quot;No leave (3)&quot;;Extended Properties=&quot;&quot;" command="SELECT * FROM [No leave (3)]"/>
  </connection>
  <connection id="18" xr16:uid="{F9BC8B9D-73C7-4EC8-A461-1D6A0068142F}" keepAlive="1" name="Query - No leave (4)" description="Connection to the 'No leave (4)' query in the workbook." type="5" refreshedVersion="0" background="1">
    <dbPr connection="Provider=Microsoft.Mashup.OleDb.1;Data Source=$Workbook$;Location=&quot;No leave (4)&quot;;Extended Properties=&quot;&quot;" command="SELECT * FROM [No leave (4)]"/>
  </connection>
  <connection id="19" xr16:uid="{22FB8BB0-B0A4-42E3-8008-E5B61E10AC44}" keepAlive="1" name="Query - No leave (5)" description="Connection to the 'No leave (5)' query in the workbook." type="5" refreshedVersion="0" background="1">
    <dbPr connection="Provider=Microsoft.Mashup.OleDb.1;Data Source=$Workbook$;Location=&quot;No leave (5)&quot;;Extended Properties=&quot;&quot;" command="SELECT * FROM [No leave (5)]"/>
  </connection>
  <connection id="20" xr16:uid="{D6E33120-3BAA-4371-9C94-81CD851D05CE}" keepAlive="1" name="Query - No leave (6)" description="Connection to the 'No leave (6)' query in the workbook." type="5" refreshedVersion="8" background="1" saveData="1">
    <dbPr connection="Provider=Microsoft.Mashup.OleDb.1;Data Source=$Workbook$;Location=&quot;No leave (6)&quot;;Extended Properties=&quot;&quot;" command="SELECT * FROM [No leave (6)]"/>
  </connection>
  <connection id="21" xr16:uid="{FAEA73A1-0E7E-4077-AEA1-3887480ECC6F}" keepAlive="1" name="Query - No leave (7)" description="Connection to the 'No leave (7)' query in the workbook." type="5" refreshedVersion="8" background="1" saveData="1">
    <dbPr connection="Provider=Microsoft.Mashup.OleDb.1;Data Source=$Workbook$;Location=&quot;No leave (7)&quot;;Extended Properties=&quot;&quot;" command="SELECT * FROM [No leave (7)]"/>
  </connection>
  <connection id="22" xr16:uid="{54AA03BB-7452-4B2F-8A7B-2C8EA198DD95}" keepAlive="1" name="Query - No leave (8)" description="Connection to the 'No leave (8)' query in the workbook." type="5" refreshedVersion="8" background="1" saveData="1">
    <dbPr connection="Provider=Microsoft.Mashup.OleDb.1;Data Source=$Workbook$;Location=&quot;No leave (8)&quot;;Extended Properties=&quot;&quot;" command="SELECT * FROM [No leave (8)]"/>
  </connection>
  <connection id="23" xr16:uid="{AA5AE098-0EED-411D-B53C-9B968B66A3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4" xr16:uid="{599049BF-5CE1-4479-9A96-9ECA1BCD9F23}" keepAlive="1" name="Query - Parameter10" description="Connection to the 'Parameter10' query in the workbook." type="5" refreshedVersion="0" background="1">
    <dbPr connection="Provider=Microsoft.Mashup.OleDb.1;Data Source=$Workbook$;Location=Parameter10;Extended Properties=&quot;&quot;" command="SELECT * FROM [Parameter10]"/>
  </connection>
  <connection id="25" xr16:uid="{89EF31B8-2576-462B-A7D3-91F1C9F2220F}" keepAlive="1" name="Query - Parameter11" description="Connection to the 'Parameter11' query in the workbook." type="5" refreshedVersion="0" background="1">
    <dbPr connection="Provider=Microsoft.Mashup.OleDb.1;Data Source=$Workbook$;Location=Parameter11;Extended Properties=&quot;&quot;" command="SELECT * FROM [Parameter11]"/>
  </connection>
  <connection id="26" xr16:uid="{C8693AD6-7942-4182-A8E1-535F7953F866}" keepAlive="1" name="Query - Parameter12" description="Connection to the 'Parameter12' query in the workbook." type="5" refreshedVersion="0" background="1">
    <dbPr connection="Provider=Microsoft.Mashup.OleDb.1;Data Source=$Workbook$;Location=Parameter12;Extended Properties=&quot;&quot;" command="SELECT * FROM [Parameter12]"/>
  </connection>
  <connection id="27" xr16:uid="{4FF621E0-E8B7-48D0-998B-8113A3941466}" keepAlive="1" name="Query - Parameter13" description="Connection to the 'Parameter13' query in the workbook." type="5" refreshedVersion="0" background="1">
    <dbPr connection="Provider=Microsoft.Mashup.OleDb.1;Data Source=$Workbook$;Location=Parameter13;Extended Properties=&quot;&quot;" command="SELECT * FROM [Parameter13]"/>
  </connection>
  <connection id="28" xr16:uid="{1C734734-B344-47A3-8771-25E3CA7AB125}" keepAlive="1" name="Query - Parameter14" description="Connection to the 'Parameter14' query in the workbook." type="5" refreshedVersion="0" background="1">
    <dbPr connection="Provider=Microsoft.Mashup.OleDb.1;Data Source=$Workbook$;Location=Parameter14;Extended Properties=&quot;&quot;" command="SELECT * FROM [Parameter14]"/>
  </connection>
  <connection id="29" xr16:uid="{E4E1A00E-F94D-498F-984B-01D71FF73E1B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0" xr16:uid="{B89EFF29-4B6D-4573-BDBC-F4E91A19F792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31" xr16:uid="{A0F258E4-B845-4708-92ED-080766EA9565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32" xr16:uid="{B3884C40-AABB-4391-80A1-2DCD097CA461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33" xr16:uid="{D73AE5E7-096C-4362-BA0E-D52D7AFAD830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34" xr16:uid="{6D5B7FB3-EAD6-49A5-8097-2F52F1A9C586}" keepAlive="1" name="Query - Parameter7" description="Connection to the 'Parameter7' query in the workbook." type="5" refreshedVersion="0" background="1">
    <dbPr connection="Provider=Microsoft.Mashup.OleDb.1;Data Source=$Workbook$;Location=Parameter7;Extended Properties=&quot;&quot;" command="SELECT * FROM [Parameter7]"/>
  </connection>
  <connection id="35" xr16:uid="{F83300DB-540F-486E-81E1-8AE380B191AC}" keepAlive="1" name="Query - Parameter8" description="Connection to the 'Parameter8' query in the workbook." type="5" refreshedVersion="0" background="1">
    <dbPr connection="Provider=Microsoft.Mashup.OleDb.1;Data Source=$Workbook$;Location=Parameter8;Extended Properties=&quot;&quot;" command="SELECT * FROM [Parameter8]"/>
  </connection>
  <connection id="36" xr16:uid="{384BB8A4-2CD9-43F1-8CF1-2BD766512040}" keepAlive="1" name="Query - Parameter9" description="Connection to the 'Parameter9' query in the workbook." type="5" refreshedVersion="0" background="1">
    <dbPr connection="Provider=Microsoft.Mashup.OleDb.1;Data Source=$Workbook$;Location=Parameter9;Extended Properties=&quot;&quot;" command="SELECT * FROM [Parameter9]"/>
  </connection>
  <connection id="37" xr16:uid="{F1A0F2BC-8A95-4D3F-9D95-DB5694413EE9}" keepAlive="1" name="Query - Pine" description="Connection to the 'Pine' query in the workbook." type="5" refreshedVersion="8" background="1" saveData="1">
    <dbPr connection="Provider=Microsoft.Mashup.OleDb.1;Data Source=$Workbook$;Location=Pine;Extended Properties=&quot;&quot;" command="SELECT * FROM [Pine]"/>
  </connection>
  <connection id="38" xr16:uid="{255A9357-A138-488E-8B2B-272D4CFFFE42}" keepAlive="1" name="Query - Pine (2)" description="Connection to the 'Pine (2)' query in the workbook." type="5" refreshedVersion="8" background="1" saveData="1">
    <dbPr connection="Provider=Microsoft.Mashup.OleDb.1;Data Source=$Workbook$;Location=&quot;Pine (2)&quot;;Extended Properties=&quot;&quot;" command="SELECT * FROM [Pine (2)]"/>
  </connection>
  <connection id="39" xr16:uid="{AA878302-BC59-4767-B43E-CB3A78F06F2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0" xr16:uid="{05C5B8FF-437E-45F8-A204-963F5260B43A}" keepAlive="1" name="Query - Sample File (10)" description="Connection to the 'Sample File (10)' query in the workbook." type="5" refreshedVersion="0" background="1">
    <dbPr connection="Provider=Microsoft.Mashup.OleDb.1;Data Source=$Workbook$;Location=&quot;Sample File (10)&quot;;Extended Properties=&quot;&quot;" command="SELECT * FROM [Sample File (10)]"/>
  </connection>
  <connection id="41" xr16:uid="{37D0C0D8-0D7B-432D-B2FE-6C319D04150D}" keepAlive="1" name="Query - Sample File (11)" description="Connection to the 'Sample File (11)' query in the workbook." type="5" refreshedVersion="0" background="1">
    <dbPr connection="Provider=Microsoft.Mashup.OleDb.1;Data Source=$Workbook$;Location=&quot;Sample File (11)&quot;;Extended Properties=&quot;&quot;" command="SELECT * FROM [Sample File (11)]"/>
  </connection>
  <connection id="42" xr16:uid="{D69CDFFB-36B7-4A84-B0CC-A77A3FD0835E}" keepAlive="1" name="Query - Sample File (12)" description="Connection to the 'Sample File (12)' query in the workbook." type="5" refreshedVersion="0" background="1">
    <dbPr connection="Provider=Microsoft.Mashup.OleDb.1;Data Source=$Workbook$;Location=&quot;Sample File (12)&quot;;Extended Properties=&quot;&quot;" command="SELECT * FROM [Sample File (12)]"/>
  </connection>
  <connection id="43" xr16:uid="{D5772E1B-7D95-4118-BDAF-973796E64C5F}" keepAlive="1" name="Query - Sample File (13)" description="Connection to the 'Sample File (13)' query in the workbook." type="5" refreshedVersion="0" background="1">
    <dbPr connection="Provider=Microsoft.Mashup.OleDb.1;Data Source=$Workbook$;Location=&quot;Sample File (13)&quot;;Extended Properties=&quot;&quot;" command="SELECT * FROM [Sample File (13)]"/>
  </connection>
  <connection id="44" xr16:uid="{AAAC166C-F53D-433C-B332-71BBB5AF889D}" keepAlive="1" name="Query - Sample File (14)" description="Connection to the 'Sample File (14)' query in the workbook." type="5" refreshedVersion="0" background="1">
    <dbPr connection="Provider=Microsoft.Mashup.OleDb.1;Data Source=$Workbook$;Location=&quot;Sample File (14)&quot;;Extended Properties=&quot;&quot;" command="SELECT * FROM [Sample File (14)]"/>
  </connection>
  <connection id="45" xr16:uid="{4D17C75A-FACE-41ED-B278-61ACCCB2F31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46" xr16:uid="{A3643130-DED8-4682-AA39-766BC2D305BA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47" xr16:uid="{CD2EFE52-E6D6-44C2-93B0-BFF4E6A003A7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48" xr16:uid="{17F9BF50-D004-47EE-8294-F061B4BFDE16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49" xr16:uid="{770F5D40-A353-4F07-9628-1C6EBCBCAFBA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50" xr16:uid="{D77B5ADF-7880-4001-898D-8DF10730089D}" keepAlive="1" name="Query - Sample File (7)" description="Connection to the 'Sample File (7)' query in the workbook." type="5" refreshedVersion="0" background="1">
    <dbPr connection="Provider=Microsoft.Mashup.OleDb.1;Data Source=$Workbook$;Location=&quot;Sample File (7)&quot;;Extended Properties=&quot;&quot;" command="SELECT * FROM [Sample File (7)]"/>
  </connection>
  <connection id="51" xr16:uid="{8CEF48A6-4038-450F-85A6-9310A5D05132}" keepAlive="1" name="Query - Sample File (8)" description="Connection to the 'Sample File (8)' query in the workbook." type="5" refreshedVersion="0" background="1">
    <dbPr connection="Provider=Microsoft.Mashup.OleDb.1;Data Source=$Workbook$;Location=&quot;Sample File (8)&quot;;Extended Properties=&quot;&quot;" command="SELECT * FROM [Sample File (8)]"/>
  </connection>
  <connection id="52" xr16:uid="{5AB013F5-205B-4D61-BADC-DBB4FA8697E1}" keepAlive="1" name="Query - Sample File (9)" description="Connection to the 'Sample File (9)' query in the workbook." type="5" refreshedVersion="0" background="1">
    <dbPr connection="Provider=Microsoft.Mashup.OleDb.1;Data Source=$Workbook$;Location=&quot;Sample File (9)&quot;;Extended Properties=&quot;&quot;" command="SELECT * FROM [Sample File (9)]"/>
  </connection>
  <connection id="53" xr16:uid="{8EAE1EC3-65DB-477A-BDA0-07BB45CC4907}" keepAlive="1" name="Query - stringybark bulk density" description="Connection to the 'stringybark bulk density' query in the workbook." type="5" refreshedVersion="8" background="1" saveData="1">
    <dbPr connection="Provider=Microsoft.Mashup.OleDb.1;Data Source=$Workbook$;Location=&quot;stringybark bulk density&quot;;Extended Properties=&quot;&quot;" command="SELECT * FROM [stringybark bulk density]"/>
  </connection>
  <connection id="54" xr16:uid="{1BB469A7-0123-4EAE-926B-D8C27F7127E7}" keepAlive="1" name="Query - stringybark bulk density (raw)" description="Connection to the 'stringybark bulk density (raw)' query in the workbook." type="5" refreshedVersion="8" background="1" saveData="1">
    <dbPr connection="Provider=Microsoft.Mashup.OleDb.1;Data Source=$Workbook$;Location=&quot;stringybark bulk density (raw)&quot;;Extended Properties=&quot;&quot;" command="SELECT * FROM [stringybark bulk density (raw)]"/>
  </connection>
  <connection id="55" xr16:uid="{D5A5EC13-F737-411A-9EF5-D56824D756B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6" xr16:uid="{C898C2DF-1745-4E7E-9504-1B4461B38ACF}" keepAlive="1" name="Query - Transform File (10)" description="Connection to the 'Transform File (10)' query in the workbook." type="5" refreshedVersion="0" background="1">
    <dbPr connection="Provider=Microsoft.Mashup.OleDb.1;Data Source=$Workbook$;Location=&quot;Transform File (10)&quot;;Extended Properties=&quot;&quot;" command="SELECT * FROM [Transform File (10)]"/>
  </connection>
  <connection id="57" xr16:uid="{33164618-0470-4D09-9224-9874B80A8A50}" keepAlive="1" name="Query - Transform File (11)" description="Connection to the 'Transform File (11)' query in the workbook." type="5" refreshedVersion="0" background="1">
    <dbPr connection="Provider=Microsoft.Mashup.OleDb.1;Data Source=$Workbook$;Location=&quot;Transform File (11)&quot;;Extended Properties=&quot;&quot;" command="SELECT * FROM [Transform File (11)]"/>
  </connection>
  <connection id="58" xr16:uid="{6BE1CB04-7576-4BDF-BD10-B373028159BB}" keepAlive="1" name="Query - Transform File (12)" description="Connection to the 'Transform File (12)' query in the workbook." type="5" refreshedVersion="0" background="1">
    <dbPr connection="Provider=Microsoft.Mashup.OleDb.1;Data Source=$Workbook$;Location=&quot;Transform File (12)&quot;;Extended Properties=&quot;&quot;" command="SELECT * FROM [Transform File (12)]"/>
  </connection>
  <connection id="59" xr16:uid="{D8CC956F-45B1-4E7F-814D-0D5173D3EEF2}" keepAlive="1" name="Query - Transform File (13)" description="Connection to the 'Transform File (13)' query in the workbook." type="5" refreshedVersion="0" background="1">
    <dbPr connection="Provider=Microsoft.Mashup.OleDb.1;Data Source=$Workbook$;Location=&quot;Transform File (13)&quot;;Extended Properties=&quot;&quot;" command="SELECT * FROM [Transform File (13)]"/>
  </connection>
  <connection id="60" xr16:uid="{0906AAC9-86BC-4314-AF1E-DF6F450D2970}" keepAlive="1" name="Query - Transform File (14)" description="Connection to the 'Transform File (14)' query in the workbook." type="5" refreshedVersion="0" background="1">
    <dbPr connection="Provider=Microsoft.Mashup.OleDb.1;Data Source=$Workbook$;Location=&quot;Transform File (14)&quot;;Extended Properties=&quot;&quot;" command="SELECT * FROM [Transform File (14)]"/>
  </connection>
  <connection id="61" xr16:uid="{1FBAF8A3-972D-4827-AC6F-7C87B42B7B4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62" xr16:uid="{EC3CC07A-84BF-4D63-A74C-9CBAFE632C33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63" xr16:uid="{043390C9-36D7-4892-BA9D-0042746B9754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64" xr16:uid="{42301182-E937-42C1-AA22-F2A10E92411F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65" xr16:uid="{4C274B05-7B22-44FA-B926-04EEAA3BC1A7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66" xr16:uid="{202F9FF6-6842-4775-B54F-42923052B207}" keepAlive="1" name="Query - Transform File (7)" description="Connection to the 'Transform File (7)' query in the workbook." type="5" refreshedVersion="0" background="1">
    <dbPr connection="Provider=Microsoft.Mashup.OleDb.1;Data Source=$Workbook$;Location=&quot;Transform File (7)&quot;;Extended Properties=&quot;&quot;" command="SELECT * FROM [Transform File (7)]"/>
  </connection>
  <connection id="67" xr16:uid="{A59646CA-016F-4822-A076-9AF19799A23B}" keepAlive="1" name="Query - Transform File (8)" description="Connection to the 'Transform File (8)' query in the workbook." type="5" refreshedVersion="0" background="1">
    <dbPr connection="Provider=Microsoft.Mashup.OleDb.1;Data Source=$Workbook$;Location=&quot;Transform File (8)&quot;;Extended Properties=&quot;&quot;" command="SELECT * FROM [Transform File (8)]"/>
  </connection>
  <connection id="68" xr16:uid="{76B13813-C3C0-41D0-A400-BD50BDE83E98}" keepAlive="1" name="Query - Transform File (9)" description="Connection to the 'Transform File (9)' query in the workbook." type="5" refreshedVersion="0" background="1">
    <dbPr connection="Provider=Microsoft.Mashup.OleDb.1;Data Source=$Workbook$;Location=&quot;Transform File (9)&quot;;Extended Properties=&quot;&quot;" command="SELECT * FROM [Transform File (9)]"/>
  </connection>
  <connection id="69" xr16:uid="{F6A67441-734D-4A9B-87A2-79F5E32F2B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0" xr16:uid="{F67291D6-CE47-4575-B94D-4CE948B30610}" keepAlive="1" name="Query - Transform Sample File (10)" description="Connection to the 'Transform Sample File (10)' query in the workbook." type="5" refreshedVersion="0" background="1">
    <dbPr connection="Provider=Microsoft.Mashup.OleDb.1;Data Source=$Workbook$;Location=&quot;Transform Sample File (10)&quot;;Extended Properties=&quot;&quot;" command="SELECT * FROM [Transform Sample File (10)]"/>
  </connection>
  <connection id="71" xr16:uid="{353FE91D-5925-4ADF-BFFE-1CE31F160FB1}" keepAlive="1" name="Query - Transform Sample File (11)" description="Connection to the 'Transform Sample File (11)' query in the workbook." type="5" refreshedVersion="0" background="1">
    <dbPr connection="Provider=Microsoft.Mashup.OleDb.1;Data Source=$Workbook$;Location=&quot;Transform Sample File (11)&quot;;Extended Properties=&quot;&quot;" command="SELECT * FROM [Transform Sample File (11)]"/>
  </connection>
  <connection id="72" xr16:uid="{72D80568-9CC9-4EE7-A6E3-5A7D8219C07A}" keepAlive="1" name="Query - Transform Sample File (12)" description="Connection to the 'Transform Sample File (12)' query in the workbook." type="5" refreshedVersion="0" background="1">
    <dbPr connection="Provider=Microsoft.Mashup.OleDb.1;Data Source=$Workbook$;Location=&quot;Transform Sample File (12)&quot;;Extended Properties=&quot;&quot;" command="SELECT * FROM [Transform Sample File (12)]"/>
  </connection>
  <connection id="73" xr16:uid="{825343D9-84AA-4218-BBB0-C563D92D5C89}" keepAlive="1" name="Query - Transform Sample File (13)" description="Connection to the 'Transform Sample File (13)' query in the workbook." type="5" refreshedVersion="0" background="1">
    <dbPr connection="Provider=Microsoft.Mashup.OleDb.1;Data Source=$Workbook$;Location=&quot;Transform Sample File (13)&quot;;Extended Properties=&quot;&quot;" command="SELECT * FROM [Transform Sample File (13)]"/>
  </connection>
  <connection id="74" xr16:uid="{CEAB8B54-4AAA-4DB9-8835-83BF36ACD416}" keepAlive="1" name="Query - Transform Sample File (14)" description="Connection to the 'Transform Sample File (14)' query in the workbook." type="5" refreshedVersion="0" background="1">
    <dbPr connection="Provider=Microsoft.Mashup.OleDb.1;Data Source=$Workbook$;Location=&quot;Transform Sample File (14)&quot;;Extended Properties=&quot;&quot;" command="SELECT * FROM [Transform Sample File (14)]"/>
  </connection>
  <connection id="75" xr16:uid="{41CF109C-FFBB-4A06-AB5F-F1CA71EBA614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76" xr16:uid="{8C9E7165-2A73-49E5-B43C-952CA497762F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77" xr16:uid="{BEB17FFE-77C5-41AB-85D7-3A42BF2AEB20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78" xr16:uid="{DA63F185-BE86-4503-9BA8-7BC7802CFD4A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79" xr16:uid="{9C7A6AA8-FB10-41A2-9843-2991AC065F0D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  <connection id="80" xr16:uid="{8E638F8F-A4B5-4F2E-B569-08DA3F3BDDFA}" keepAlive="1" name="Query - Transform Sample File (7)" description="Connection to the 'Transform Sample File (7)' query in the workbook." type="5" refreshedVersion="0" background="1">
    <dbPr connection="Provider=Microsoft.Mashup.OleDb.1;Data Source=$Workbook$;Location=&quot;Transform Sample File (7)&quot;;Extended Properties=&quot;&quot;" command="SELECT * FROM [Transform Sample File (7)]"/>
  </connection>
  <connection id="81" xr16:uid="{329CDC57-C079-41F8-8E32-65412AE5FBED}" keepAlive="1" name="Query - Transform Sample File (8)" description="Connection to the 'Transform Sample File (8)' query in the workbook." type="5" refreshedVersion="0" background="1">
    <dbPr connection="Provider=Microsoft.Mashup.OleDb.1;Data Source=$Workbook$;Location=&quot;Transform Sample File (8)&quot;;Extended Properties=&quot;&quot;" command="SELECT * FROM [Transform Sample File (8)]"/>
  </connection>
  <connection id="82" xr16:uid="{C0D991FF-2824-4FB4-A3E9-73EB41D7B98C}" keepAlive="1" name="Query - Transform Sample File (9)" description="Connection to the 'Transform Sample File (9)' query in the workbook." type="5" refreshedVersion="0" background="1">
    <dbPr connection="Provider=Microsoft.Mashup.OleDb.1;Data Source=$Workbook$;Location=&quot;Transform Sample File (9)&quot;;Extended Properties=&quot;&quot;" command="SELECT * FROM [Transform Sample File (9)]"/>
  </connection>
  <connection id="83" xr16:uid="{BE431990-7AFF-4002-9B1B-F82C1636EB43}" keepAlive="1" name="Query - twig bulk density (raw)" description="Connection to the 'twig bulk density (raw)' query in the workbook." type="5" refreshedVersion="8" background="1" saveData="1">
    <dbPr connection="Provider=Microsoft.Mashup.OleDb.1;Data Source=$Workbook$;Location=&quot;twig bulk density (raw)&quot;;Extended Properties=&quot;&quot;" command="SELECT * FROM [twig bulk density (raw)]"/>
  </connection>
  <connection id="84" xr16:uid="{CA0C86BC-0B32-4D31-B9ED-FFB1C090370C}" keepAlive="1" name="Query - twig bulk density (raw) (2)" description="Connection to the 'twig bulk density (raw) (2)' query in the workbook." type="5" refreshedVersion="8" background="1" saveData="1">
    <dbPr connection="Provider=Microsoft.Mashup.OleDb.1;Data Source=$Workbook$;Location=&quot;twig bulk density (raw) (2)&quot;;Extended Properties=&quot;&quot;" command="SELECT * FROM [twig bulk density (raw) (2)]"/>
  </connection>
  <connection id="85" xr16:uid="{AFE56A62-81B8-4949-A67A-52BFCDFE3C22}" keepAlive="1" name="Query - Twigs" description="Connection to the 'Twigs' query in the workbook." type="5" refreshedVersion="8" background="1" saveData="1">
    <dbPr connection="Provider=Microsoft.Mashup.OleDb.1;Data Source=$Workbook$;Location=Twigs;Extended Properties=&quot;&quot;" command="SELECT * FROM [Twigs]"/>
  </connection>
  <connection id="86" xr16:uid="{C225D7AE-C353-4868-89A6-15A0775B5BA4}" keepAlive="1" name="Query - Twigs (2)" description="Connection to the 'Twigs (2)' query in the workbook." type="5" refreshedVersion="8" background="1" saveData="1">
    <dbPr connection="Provider=Microsoft.Mashup.OleDb.1;Data Source=$Workbook$;Location=&quot;Twigs (2)&quot;;Extended Properties=&quot;&quot;" command="SELECT * FROM [Twigs (2)]"/>
  </connection>
  <connection id="87" xr16:uid="{F8745F5C-8B49-43A1-8847-5AC5EC66C1BD}" keepAlive="1" name="Query - Twigs (3)" description="Connection to the 'Twigs (3)' query in the workbook." type="5" refreshedVersion="0" background="1" saveData="1">
    <dbPr connection="Provider=Microsoft.Mashup.OleDb.1;Data Source=$Workbook$;Location=&quot;Twigs (3)&quot;;Extended Properties=&quot;&quot;" command="SELECT * FROM [Twigs (3)]"/>
  </connection>
  <connection id="88" xr16:uid="{7C586A25-240C-474E-BC58-80EA50B932DD}" keepAlive="1" name="Query - Twigs (4)" description="Connection to the 'Twigs (4)' query in the workbook." type="5" refreshedVersion="8" background="1" saveData="1">
    <dbPr connection="Provider=Microsoft.Mashup.OleDb.1;Data Source=$Workbook$;Location=&quot;Twigs (4)&quot;;Extended Properties=&quot;&quot;" command="SELECT * FROM [Twigs (4)]"/>
  </connection>
  <connection id="89" xr16:uid="{72B62709-5B37-4710-B386-0D5A0969FFDC}" keepAlive="1" name="Query - Twigs (5)" description="Connection to the 'Twigs (5)' query in the workbook." type="5" refreshedVersion="8" background="1" saveData="1">
    <dbPr connection="Provider=Microsoft.Mashup.OleDb.1;Data Source=$Workbook$;Location=&quot;Twigs (5)&quot;;Extended Properties=&quot;&quot;" command="SELECT * FROM [Twigs (5)]"/>
  </connection>
</connections>
</file>

<file path=xl/sharedStrings.xml><?xml version="1.0" encoding="utf-8"?>
<sst xmlns="http://schemas.openxmlformats.org/spreadsheetml/2006/main" count="414" uniqueCount="133">
  <si>
    <t>Species</t>
  </si>
  <si>
    <t>Tray</t>
  </si>
  <si>
    <t>Empty tray</t>
  </si>
  <si>
    <t>Fresh fuel (tray)</t>
  </si>
  <si>
    <t>Fresh fuel (no tray)</t>
  </si>
  <si>
    <t>Dried fuel (tray)</t>
  </si>
  <si>
    <t>Dried fuel (no tray)</t>
  </si>
  <si>
    <t>Change</t>
  </si>
  <si>
    <t>Category ID</t>
  </si>
  <si>
    <t>Eucalyptus</t>
  </si>
  <si>
    <t>T1 (leave)</t>
  </si>
  <si>
    <t>C4 (leave)</t>
  </si>
  <si>
    <t>T2S</t>
  </si>
  <si>
    <t>C3 (0 - 5 mm)</t>
  </si>
  <si>
    <t>T3S</t>
  </si>
  <si>
    <t>C2 (5 - 10 mm)</t>
  </si>
  <si>
    <t>T4S</t>
  </si>
  <si>
    <t>C1 (10 - 20 mm)</t>
  </si>
  <si>
    <t>T5 (leave)</t>
  </si>
  <si>
    <t>T6S</t>
  </si>
  <si>
    <t>T7S</t>
  </si>
  <si>
    <t>T8S</t>
  </si>
  <si>
    <t>T9 (leave)</t>
  </si>
  <si>
    <t>T10S</t>
  </si>
  <si>
    <t>T11S</t>
  </si>
  <si>
    <t>T12S</t>
  </si>
  <si>
    <t>Pine</t>
  </si>
  <si>
    <t>Acacia</t>
  </si>
  <si>
    <t>Total (without leave)</t>
  </si>
  <si>
    <t>Total (leave)</t>
  </si>
  <si>
    <t>File (ID)</t>
  </si>
  <si>
    <t>Length (mm)</t>
  </si>
  <si>
    <t>Width (mm)</t>
  </si>
  <si>
    <t>Height (mm)</t>
  </si>
  <si>
    <t>Mass (g)</t>
  </si>
  <si>
    <t>Acacia 1_mesh_1.ply</t>
  </si>
  <si>
    <t/>
  </si>
  <si>
    <t>Acacia 1_mesh_2.ply</t>
  </si>
  <si>
    <t>Acacia 1_mesh_3.ply</t>
  </si>
  <si>
    <t>Acacia 2_mesh_1.ply</t>
  </si>
  <si>
    <t>Acacia 2_mesh_2.ply</t>
  </si>
  <si>
    <t>Acacia 2_mesh_3.ply</t>
  </si>
  <si>
    <t>Acacia 3_mesh_1.ply</t>
  </si>
  <si>
    <t>Acacia 3_mesh_2.ply</t>
  </si>
  <si>
    <t>Acacia 3_mesh_3.ply</t>
  </si>
  <si>
    <t>Eucalyptus 1_mesh_1.ply</t>
  </si>
  <si>
    <t>Eucalyptus 1_mesh_2.ply</t>
  </si>
  <si>
    <t>Eucalyptus 1_mesh_3.ply</t>
  </si>
  <si>
    <t>Eucalyptus 2_mesh_1.ply</t>
  </si>
  <si>
    <t>Eucalyptus 2_mesh_2.ply</t>
  </si>
  <si>
    <t>Eucalyptus 2_mesh_3.ply</t>
  </si>
  <si>
    <t>Eucalyptus 3_mesh_1.ply</t>
  </si>
  <si>
    <t>Eucalyptus 3_mesh_2.ply</t>
  </si>
  <si>
    <t>Eucalyptus 3_mesh_3.ply</t>
  </si>
  <si>
    <t>Pine 1_mesh_1.ply</t>
  </si>
  <si>
    <t>Pine 1_mesh_2.ply</t>
  </si>
  <si>
    <t>Pine 1_mesh_3.ply</t>
  </si>
  <si>
    <t>Pine 2_mesh_1.ply</t>
  </si>
  <si>
    <t>Pine 2_mesh_2.ply</t>
  </si>
  <si>
    <t>Pine 2_mesh_3.ply</t>
  </si>
  <si>
    <t>Pine 3_mesh_1.ply</t>
  </si>
  <si>
    <t>Pine 3_mesh_2.ply</t>
  </si>
  <si>
    <t>Pine 3_mesh_3.ply</t>
  </si>
  <si>
    <t>Volume (mm3)</t>
  </si>
  <si>
    <t>Surface Area (mm2)</t>
  </si>
  <si>
    <t>T16S12_mesh.ply</t>
  </si>
  <si>
    <t>T16S15_mesh.ply</t>
  </si>
  <si>
    <t>T16S18_mesh.ply</t>
  </si>
  <si>
    <t>T16S21_mesh.ply</t>
  </si>
  <si>
    <t>T16S24_mesh.ply</t>
  </si>
  <si>
    <t>T16S27_mesh.ply</t>
  </si>
  <si>
    <t>T16S30_mesh.ply</t>
  </si>
  <si>
    <t>T16S3_mesh.ply</t>
  </si>
  <si>
    <t>T16S6_mesh.ply</t>
  </si>
  <si>
    <t>T16S9_mesh.ply</t>
  </si>
  <si>
    <t>T17S12_mesh.ply</t>
  </si>
  <si>
    <t>T17S15_mesh.ply</t>
  </si>
  <si>
    <t>T17S18_mesh.ply</t>
  </si>
  <si>
    <t>T17S21_mesh.ply</t>
  </si>
  <si>
    <t>T17S3_mesh.ply</t>
  </si>
  <si>
    <t>T17S6_mesh.ply</t>
  </si>
  <si>
    <t>T17S9_mesh.ply</t>
  </si>
  <si>
    <t>T5S12_mesh.ply</t>
  </si>
  <si>
    <t>T5S15_mesh.ply</t>
  </si>
  <si>
    <t>T5S18_mesh.ply</t>
  </si>
  <si>
    <t>T5S21_mesh.ply</t>
  </si>
  <si>
    <t>T5S24_mesh.ply</t>
  </si>
  <si>
    <t>T5S27_mesh.ply</t>
  </si>
  <si>
    <t>T5S30_mesh.ply</t>
  </si>
  <si>
    <t>T5S33_mesh.ply</t>
  </si>
  <si>
    <t>T5S36_mesh.ply</t>
  </si>
  <si>
    <t>T5S3_mesh.ply</t>
  </si>
  <si>
    <t>T5S6_mesh.ply</t>
  </si>
  <si>
    <t>T5S9_mesh.ply</t>
  </si>
  <si>
    <t>T8S12_mesh.ply</t>
  </si>
  <si>
    <t>T8S15_mesh.ply</t>
  </si>
  <si>
    <t>T8S18_mesh.ply</t>
  </si>
  <si>
    <t>T8S21_mesh.ply</t>
  </si>
  <si>
    <t>T8S24_mesh.ply</t>
  </si>
  <si>
    <t>T8S27_mesh.ply</t>
  </si>
  <si>
    <t>T8S3_mesh.ply</t>
  </si>
  <si>
    <t>T8S6_mesh.ply</t>
  </si>
  <si>
    <t>T8S9_mesh.ply</t>
  </si>
  <si>
    <t>T9S12_mesh.ply</t>
  </si>
  <si>
    <t>T9S15_mesh.ply</t>
  </si>
  <si>
    <t>T9S18_mesh.ply</t>
  </si>
  <si>
    <t>T9S21_mesh.ply</t>
  </si>
  <si>
    <t>T9S24_mesh.ply</t>
  </si>
  <si>
    <t>T9S26_mesh.ply</t>
  </si>
  <si>
    <t>T9S27_mesh.ply</t>
  </si>
  <si>
    <t>T9S30_mesh.ply</t>
  </si>
  <si>
    <t>T9S32_mesh.ply</t>
  </si>
  <si>
    <t>T9S35_mesh.ply</t>
  </si>
  <si>
    <t>T9S38_mesh.ply</t>
  </si>
  <si>
    <t>T9S3_mesh.ply</t>
  </si>
  <si>
    <t>T9S41_mesh.ply</t>
  </si>
  <si>
    <t>T9S44_mesh.ply</t>
  </si>
  <si>
    <t>T9S6_mesh.ply</t>
  </si>
  <si>
    <t>T9S9_mesh.ply</t>
  </si>
  <si>
    <t>Fresh mass (g)</t>
  </si>
  <si>
    <t>Dried mass (g)</t>
  </si>
  <si>
    <t>Curve 1_mesh.ply</t>
  </si>
  <si>
    <t>Curve 2_mesh.ply</t>
  </si>
  <si>
    <t>Curve 3_mesh.ply</t>
  </si>
  <si>
    <t>Curve 4_mesh.ply</t>
  </si>
  <si>
    <t>Curve 5_mesh.ply</t>
  </si>
  <si>
    <t>Curve 6_mesh.ply</t>
  </si>
  <si>
    <t>Flat 1_mesh.ply</t>
  </si>
  <si>
    <t>Flat 2_mesh.ply</t>
  </si>
  <si>
    <t>Flat 5_mesh.ply</t>
  </si>
  <si>
    <t>Flat 6_mesh.ply</t>
  </si>
  <si>
    <t>Flat 3_mesh.ply</t>
  </si>
  <si>
    <t>Flat 4_mesh.ply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</si>
</sst>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  <cx:data id="1">
      <cx:strDim type="cat">
        <cx:f dir="row">_xlchart.v1.4</cx:f>
      </cx:strDim>
      <cx:numDim type="val">
        <cx:f dir="row">_xlchart.v1.6</cx:f>
      </cx:numDim>
    </cx:data>
    <cx:data id="2">
      <cx:strDim type="cat">
        <cx:f dir="row">_xlchart.v1.4</cx:f>
      </cx:strDim>
      <cx:numDim type="val">
        <cx:f dir="row">_xlchart.v1.7</cx:f>
      </cx:numDim>
    </cx:data>
    <cx:data id="3">
      <cx:strDim type="cat">
        <cx:f dir="row">_xlchart.v1.4</cx:f>
      </cx:strDim>
      <cx:numDim type="val">
        <cx:f dir="row">_xlchart.v1.8</cx:f>
      </cx:numDim>
    </cx:data>
    <cx:data id="4">
      <cx:strDim type="cat">
        <cx:f dir="row">_xlchart.v1.4</cx:f>
      </cx:strDim>
      <cx:numDim type="val">
        <cx:f dir="row">_xlchart.v1.9</cx:f>
      </cx:numDim>
    </cx:data>
    <cx:data id="5">
      <cx:strDim type="cat">
        <cx:f dir="row">_xlchart.v1.4</cx:f>
      </cx:strDim>
      <cx:numDim type="val">
        <cx:f dir="row">_xlchart.v1.10</cx:f>
      </cx:numDim>
    </cx:data>
    <cx:data id="6">
      <cx:strDim type="cat">
        <cx:f dir="row">_xlchart.v1.4</cx:f>
      </cx:strDim>
      <cx:numDim type="val">
        <cx:f dir="row">_xlchart.v1.11</cx:f>
      </cx:numDim>
    </cx:data>
    <cx:data id="7">
      <cx:strDim type="cat">
        <cx:f dir="row">_xlchart.v1.4</cx:f>
      </cx:strDim>
      <cx:numDim type="val">
        <cx:f dir="row">_xlchart.v1.12</cx:f>
      </cx:numDim>
    </cx:data>
    <cx:data id="8">
      <cx:strDim type="cat">
        <cx:f dir="row">_xlchart.v1.4</cx:f>
      </cx:strDim>
      <cx:numDim type="val">
        <cx:f dir="row">_xlchart.v1.0</cx:f>
      </cx:numDim>
    </cx:data>
    <cx:data id="9">
      <cx:strDim type="cat">
        <cx:f dir="row">_xlchart.v1.4</cx:f>
      </cx:strDim>
      <cx:numDim type="val">
        <cx:f dir="row">_xlchart.v1.1</cx:f>
      </cx:numDim>
    </cx:data>
    <cx:data id="10">
      <cx:strDim type="cat">
        <cx:f dir="row">_xlchart.v1.4</cx:f>
      </cx:strDim>
      <cx:numDim type="val">
        <cx:f dir="row">_xlchart.v1.2</cx:f>
      </cx:numDim>
    </cx:data>
    <cx:data id="11">
      <cx:strDim type="cat">
        <cx:f dir="row">_xlchart.v1.4</cx:f>
      </cx:strDim>
      <cx:numDim type="val">
        <cx:f dir="row">_xlchart.v1.3</cx:f>
      </cx:numDim>
    </cx:data>
  </cx:chartData>
  <cx:chart>
    <cx:title pos="t" align="ctr" overlay="0">
      <cx:tx>
        <cx:txData>
          <cx:v>MC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MC (%)</a:t>
          </a:r>
        </a:p>
      </cx:txPr>
    </cx:title>
    <cx:plotArea>
      <cx:plotAreaRegion>
        <cx:series layoutId="boxWhisker" uniqueId="{3559E45F-7808-4553-BFC4-3786742BA9F0}">
          <cx:dataId val="0"/>
          <cx:layoutPr>
            <cx:statistics quartileMethod="exclusive"/>
          </cx:layoutPr>
        </cx:series>
        <cx:series layoutId="boxWhisker" uniqueId="{D299B9E6-58DD-4450-B516-7FFE26D4C5A6}">
          <cx:dataId val="1"/>
          <cx:layoutPr>
            <cx:statistics quartileMethod="exclusive"/>
          </cx:layoutPr>
        </cx:series>
        <cx:series layoutId="boxWhisker" uniqueId="{0637AEAC-F107-4D3C-81F4-2145B911F888}">
          <cx:dataId val="2"/>
          <cx:layoutPr>
            <cx:statistics quartileMethod="exclusive"/>
          </cx:layoutPr>
        </cx:series>
        <cx:series layoutId="boxWhisker" uniqueId="{01CEC14A-8A0C-4F44-B8EA-C44F6EAEBD89}">
          <cx:dataId val="3"/>
          <cx:layoutPr>
            <cx:statistics quartileMethod="exclusive"/>
          </cx:layoutPr>
        </cx:series>
        <cx:series layoutId="boxWhisker" uniqueId="{2073E4FC-AB41-4EBC-8AB3-6E09D875A9EA}">
          <cx:dataId val="4"/>
          <cx:layoutPr>
            <cx:statistics quartileMethod="exclusive"/>
          </cx:layoutPr>
        </cx:series>
        <cx:series layoutId="boxWhisker" uniqueId="{B90918CB-0CF5-4FB2-903B-06166AE82290}">
          <cx:dataId val="5"/>
          <cx:layoutPr>
            <cx:statistics quartileMethod="exclusive"/>
          </cx:layoutPr>
        </cx:series>
        <cx:series layoutId="boxWhisker" uniqueId="{D056CDA4-C2DD-4A7A-8102-F2E9FCE8D786}">
          <cx:dataId val="6"/>
          <cx:layoutPr>
            <cx:statistics quartileMethod="exclusive"/>
          </cx:layoutPr>
        </cx:series>
        <cx:series layoutId="boxWhisker" uniqueId="{C22FDBE3-8312-401E-B0FD-6C175169C2C8}">
          <cx:dataId val="7"/>
          <cx:layoutPr>
            <cx:statistics quartileMethod="exclusive"/>
          </cx:layoutPr>
        </cx:series>
        <cx:series layoutId="boxWhisker" uniqueId="{D355DF2C-EE91-4D60-92B1-7A41ACE9E0DF}">
          <cx:dataId val="8"/>
          <cx:layoutPr>
            <cx:statistics quartileMethod="exclusive"/>
          </cx:layoutPr>
        </cx:series>
        <cx:series layoutId="boxWhisker" uniqueId="{CD2C532C-DEE2-4982-8217-76404897F9DF}">
          <cx:dataId val="9"/>
          <cx:layoutPr>
            <cx:statistics quartileMethod="exclusive"/>
          </cx:layoutPr>
        </cx:series>
        <cx:series layoutId="boxWhisker" uniqueId="{D4C11529-61F5-41FB-AA06-7971A6751F62}">
          <cx:dataId val="10"/>
          <cx:layoutPr>
            <cx:statistics quartileMethod="exclusive"/>
          </cx:layoutPr>
        </cx:series>
        <cx:series layoutId="boxWhisker" uniqueId="{473D3A80-56DD-4FBE-9FA1-32484FB62D32}">
          <cx:dataId val="11"/>
          <cx:layoutPr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58391</xdr:colOff>
      <xdr:row>2</xdr:row>
      <xdr:rowOff>117613</xdr:rowOff>
    </xdr:from>
    <xdr:to>
      <xdr:col>18</xdr:col>
      <xdr:colOff>58391</xdr:colOff>
      <xdr:row>17</xdr:row>
      <xdr:rowOff>146188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3E1919C-0AD3-6B3B-30A8-42A5DA6C54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86491" y="473213"/>
              <a:ext cx="52832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4" xr16:uid="{00B84B32-F713-4A67-A7B2-0F45DEA626CB}" autoFormatId="16" applyNumberFormats="0" applyBorderFormats="0" applyFontFormats="0" applyPatternFormats="0" applyAlignmentFormats="0" applyWidthHeightFormats="0">
  <queryTableRefresh nextId="8">
    <queryTableFields count="7">
      <queryTableField id="1" name="File (ID)" tableColumnId="1"/>
      <queryTableField id="2" name="Volume (mm³)" tableColumnId="2"/>
      <queryTableField id="3" name="Surface Area (mm²)" tableColumnId="3"/>
      <queryTableField id="4" name="Length (mm)" tableColumnId="4"/>
      <queryTableField id="5" name="Width (mm)" tableColumnId="5"/>
      <queryTableField id="6" name="Height (mm)" tableColumnId="6"/>
      <queryTableField id="7" name="Mass (g)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4" xr16:uid="{1EA1270F-A09F-417F-90BD-20C2AAA0192C}" autoFormatId="16" applyNumberFormats="0" applyBorderFormats="0" applyFontFormats="0" applyPatternFormats="0" applyAlignmentFormats="0" applyWidthHeightFormats="0">
  <queryTableRefresh nextId="8">
    <queryTableFields count="7">
      <queryTableField id="1" name="File (ID)" tableColumnId="1"/>
      <queryTableField id="2" name="Volume (mm3)" tableColumnId="2"/>
      <queryTableField id="3" name="Surface Area (mm2)" tableColumnId="3"/>
      <queryTableField id="4" name="Length (mm)" tableColumnId="4"/>
      <queryTableField id="5" name="Width (mm)" tableColumnId="5"/>
      <queryTableField id="6" name="Height (mm)" tableColumnId="6"/>
      <queryTableField id="7" name="Mass (g)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3" xr16:uid="{8A359D18-F594-463F-BAB9-29C392719BE4}" autoFormatId="16" applyNumberFormats="0" applyBorderFormats="0" applyFontFormats="0" applyPatternFormats="0" applyAlignmentFormats="0" applyWidthHeightFormats="0">
  <queryTableRefresh nextId="9">
    <queryTableFields count="8">
      <queryTableField id="1" name="File (ID)" tableColumnId="1"/>
      <queryTableField id="2" name="Volume (mm³)" tableColumnId="2"/>
      <queryTableField id="3" name="Surface Area (mm²)" tableColumnId="3"/>
      <queryTableField id="4" name="Length (mm)" tableColumnId="4"/>
      <queryTableField id="5" name="Width (mm)" tableColumnId="5"/>
      <queryTableField id="6" name="Height (mm)" tableColumnId="6"/>
      <queryTableField id="8" dataBound="0" tableColumnId="9"/>
      <queryTableField id="7" name="Mass (g)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E85D98B2-772A-4E47-BB73-81563B70FDD0}" autoFormatId="16" applyNumberFormats="0" applyBorderFormats="0" applyFontFormats="0" applyPatternFormats="0" applyAlignmentFormats="0" applyWidthHeightFormats="0">
  <queryTableRefresh nextId="9">
    <queryTableFields count="8">
      <queryTableField id="1" name="File (ID)" tableColumnId="1"/>
      <queryTableField id="2" name="Volume (mm³)" tableColumnId="2"/>
      <queryTableField id="3" name="Surface Area (mm²)" tableColumnId="3"/>
      <queryTableField id="4" name="Length (mm)" tableColumnId="4"/>
      <queryTableField id="5" name="Width (mm)" tableColumnId="5"/>
      <queryTableField id="6" name="Height (mm)" tableColumnId="6"/>
      <queryTableField id="8" dataBound="0" tableColumnId="9"/>
      <queryTableField id="7" name="Mass (g)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6D5B2DFD-3556-4314-ACBA-424C52F17A68}" autoFormatId="16" applyNumberFormats="0" applyBorderFormats="0" applyFontFormats="0" applyPatternFormats="0" applyAlignmentFormats="0" applyWidthHeightFormats="0">
  <queryTableRefresh nextId="8">
    <queryTableFields count="7">
      <queryTableField id="1" name="File (ID)" tableColumnId="1"/>
      <queryTableField id="2" name="Volume (mm³)" tableColumnId="2"/>
      <queryTableField id="3" name="Surface Area (mm²)" tableColumnId="3"/>
      <queryTableField id="4" name="Length (mm)" tableColumnId="4"/>
      <queryTableField id="5" name="Width (mm)" tableColumnId="5"/>
      <queryTableField id="6" name="Height (mm)" tableColumnId="6"/>
      <queryTableField id="7" name="Mass (g)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88E8104-0306-426F-83CD-594102CF1CB3}" autoFormatId="16" applyNumberFormats="0" applyBorderFormats="0" applyFontFormats="0" applyPatternFormats="0" applyAlignmentFormats="0" applyWidthHeightFormats="0">
  <queryTableRefresh nextId="9">
    <queryTableFields count="8">
      <queryTableField id="1" name="File (ID)" tableColumnId="1"/>
      <queryTableField id="2" name="Volume (mm³)" tableColumnId="2"/>
      <queryTableField id="3" name="Surface Area (mm²)" tableColumnId="3"/>
      <queryTableField id="4" name="Length (mm)" tableColumnId="4"/>
      <queryTableField id="5" name="Width (mm)" tableColumnId="5"/>
      <queryTableField id="6" name="Height (mm)" tableColumnId="6"/>
      <queryTableField id="8" dataBound="0" tableColumnId="8"/>
      <queryTableField id="7" name="Mass (g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4199DDE-D259-4682-94D0-1589746EAC38}" name="twig_bulk_density__raw___2" displayName="twig_bulk_density__raw___2" ref="A1:G28" tableType="queryTable" totalsRowShown="0">
  <autoFilter ref="A1:G28" xr:uid="{64199DDE-D259-4682-94D0-1589746EAC38}"/>
  <tableColumns count="7">
    <tableColumn id="1" xr3:uid="{FAB5CD80-064A-4982-8F1F-777D01629667}" uniqueName="1" name="File (ID)" queryTableFieldId="1" dataDxfId="11"/>
    <tableColumn id="2" xr3:uid="{DE6A2580-3F22-441A-81ED-E243BEF0B4A8}" uniqueName="2" name="Volume (mm3)" queryTableFieldId="2"/>
    <tableColumn id="3" xr3:uid="{15EA3F6F-74DD-4C4E-97B7-FF3D5E6BE445}" uniqueName="3" name="Surface Area (mm2)" queryTableFieldId="3"/>
    <tableColumn id="4" xr3:uid="{BED65517-483D-4307-8E6F-9C895D7493FC}" uniqueName="4" name="Length (mm)" queryTableFieldId="4"/>
    <tableColumn id="5" xr3:uid="{DD80B76D-AD51-4858-B92F-76EA0F117F73}" uniqueName="5" name="Width (mm)" queryTableFieldId="5"/>
    <tableColumn id="6" xr3:uid="{1DDEE77B-DCEE-47BA-95F0-7041F3B50DD8}" uniqueName="6" name="Height (mm)" queryTableFieldId="6"/>
    <tableColumn id="7" xr3:uid="{58DDEA6C-8B2F-422C-B989-4048CEA61475}" uniqueName="7" name="Mass (g)" queryTableFieldId="7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DE1825E-777D-48B4-8C9F-3052222EBAA9}" name="stringybark_bulk_density__raw" displayName="stringybark_bulk_density__raw" ref="A1:G55" tableType="queryTable" totalsRowShown="0">
  <autoFilter ref="A1:G55" xr:uid="{ADE1825E-777D-48B4-8C9F-3052222EBAA9}"/>
  <tableColumns count="7">
    <tableColumn id="1" xr3:uid="{7E3A84B3-BACD-49F6-971E-39B8C2587D7B}" uniqueName="1" name="File (ID)" queryTableFieldId="1" dataDxfId="9"/>
    <tableColumn id="2" xr3:uid="{2DCE0CF0-8B15-48AA-B8E9-29B64E9B08CB}" uniqueName="2" name="Volume (mm3)" queryTableFieldId="2"/>
    <tableColumn id="3" xr3:uid="{164099E4-19DF-46A1-A194-B6AB7F310DB7}" uniqueName="3" name="Surface Area (mm2)" queryTableFieldId="3"/>
    <tableColumn id="4" xr3:uid="{897DA2DD-95FF-4615-A69F-96121B2D66C4}" uniqueName="4" name="Length (mm)" queryTableFieldId="4"/>
    <tableColumn id="5" xr3:uid="{75560B27-9522-4410-A880-A6BEC4A223C5}" uniqueName="5" name="Width (mm)" queryTableFieldId="5"/>
    <tableColumn id="6" xr3:uid="{7EAF5569-D948-4E8D-9CBA-2D209A0DF62A}" uniqueName="6" name="Height (mm)" queryTableFieldId="6"/>
    <tableColumn id="7" xr3:uid="{E5C40682-96DE-4A5E-9EB4-B4AE9B9011A3}" uniqueName="7" name="Mass (g)" queryTableFieldId="7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5E9157A-97A1-4F26-8D8D-1E953522FDAB}" name="twig_bulk_density__raw" displayName="twig_bulk_density__raw" ref="A1:H28" tableType="queryTable" totalsRowShown="0">
  <autoFilter ref="A1:H28" xr:uid="{65E9157A-97A1-4F26-8D8D-1E953522FDAB}"/>
  <sortState xmlns:xlrd2="http://schemas.microsoft.com/office/spreadsheetml/2017/richdata2" ref="A2:H28">
    <sortCondition ref="A1:A28"/>
  </sortState>
  <tableColumns count="8">
    <tableColumn id="1" xr3:uid="{85CD5427-579D-4194-8AE2-C3BA8DE9D389}" uniqueName="1" name="File (ID)" queryTableFieldId="1" dataDxfId="7"/>
    <tableColumn id="2" xr3:uid="{D8A13100-07DC-4195-8EED-7BF362613A81}" uniqueName="2" name="Volume (mm3)" queryTableFieldId="2"/>
    <tableColumn id="3" xr3:uid="{14C41803-44AA-4946-B13D-A844E24E455C}" uniqueName="3" name="Surface Area (mm2)" queryTableFieldId="3"/>
    <tableColumn id="4" xr3:uid="{608A3113-FF12-47EF-9EA4-372F3C34C0CE}" uniqueName="4" name="Length (mm)" queryTableFieldId="4"/>
    <tableColumn id="5" xr3:uid="{FEC46D90-F1AF-4016-B4B5-DF132D914139}" uniqueName="5" name="Width (mm)" queryTableFieldId="5"/>
    <tableColumn id="6" xr3:uid="{4FE636CA-5884-4C68-9AAE-D7C4C8FB33A5}" uniqueName="6" name="Height (mm)" queryTableFieldId="6"/>
    <tableColumn id="9" xr3:uid="{159B516A-3002-4944-9899-BAD55DE09E85}" uniqueName="9" name="Fresh mass (g)" queryTableFieldId="8"/>
    <tableColumn id="7" xr3:uid="{BDB10911-90B9-4C5D-A7C5-9376F8AF46E1}" uniqueName="7" name="Dried mass (g)" queryTableFieldId="7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9FBC753-E40A-499A-BBA7-C417FF5827F0}" name="stringybark_bulk_density" displayName="stringybark_bulk_density" ref="A1:H55" tableType="queryTable" totalsRowShown="0">
  <autoFilter ref="A1:H55" xr:uid="{69FBC753-E40A-499A-BBA7-C417FF5827F0}"/>
  <sortState xmlns:xlrd2="http://schemas.microsoft.com/office/spreadsheetml/2017/richdata2" ref="A2:H55">
    <sortCondition ref="A1:A55"/>
  </sortState>
  <tableColumns count="8">
    <tableColumn id="1" xr3:uid="{4E2447E8-9628-46A4-8878-9601DBE6E232}" uniqueName="1" name="File (ID)" queryTableFieldId="1" dataDxfId="5"/>
    <tableColumn id="2" xr3:uid="{85162E4C-369A-4A43-BBA9-73533FB2F709}" uniqueName="2" name="Volume (mm3)" queryTableFieldId="2"/>
    <tableColumn id="3" xr3:uid="{00572590-9564-4DAF-AD4A-6C4BB4A11284}" uniqueName="3" name="Surface Area (mm2)" queryTableFieldId="3"/>
    <tableColumn id="4" xr3:uid="{EAFAB792-A2FE-49E4-A665-6C9EFA67B2FB}" uniqueName="4" name="Length (mm)" queryTableFieldId="4"/>
    <tableColumn id="5" xr3:uid="{A6A5CE30-AD26-476E-914A-14760B95147F}" uniqueName="5" name="Width (mm)" queryTableFieldId="5"/>
    <tableColumn id="6" xr3:uid="{7F670628-5EFA-4408-A137-F691C5BF9120}" uniqueName="6" name="Height (mm)" queryTableFieldId="6"/>
    <tableColumn id="9" xr3:uid="{3E1F6D3B-5163-4C25-B25F-680D6F5B173C}" uniqueName="9" name="Fresh mass (g)" queryTableFieldId="8"/>
    <tableColumn id="7" xr3:uid="{D156B9FC-BF0B-4EA5-AFA1-80B691D80DA5}" uniqueName="7" name="Dried mass (g)" queryTableFieldId="7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A40A47-E717-4DDC-810A-C6E39B22EA79}" name="candle_bark_density__raw___2" displayName="candle_bark_density__raw___2" ref="A1:G11" tableType="queryTable" totalsRowShown="0">
  <autoFilter ref="A1:G11" xr:uid="{E8A40A47-E717-4DDC-810A-C6E39B22EA79}"/>
  <tableColumns count="7">
    <tableColumn id="1" xr3:uid="{9350E563-5F22-464B-B73B-AE7190C84F82}" uniqueName="1" name="File (ID)" queryTableFieldId="1" dataDxfId="3"/>
    <tableColumn id="2" xr3:uid="{8F13EE6A-ADC1-4D33-A462-9C8B6A538965}" uniqueName="2" name="Volume (mm3)" queryTableFieldId="2"/>
    <tableColumn id="3" xr3:uid="{C3DF2350-56E1-444A-A0D1-CE5D23EC8CC0}" uniqueName="3" name="Surface Area (mm2)" queryTableFieldId="3"/>
    <tableColumn id="4" xr3:uid="{F4F2C61F-E64E-41DE-B696-F01E0CDA64AB}" uniqueName="4" name="Length (mm)" queryTableFieldId="4"/>
    <tableColumn id="5" xr3:uid="{07B5FE79-BB81-46E7-BC9F-AC87FFE1B6FC}" uniqueName="5" name="Width (mm)" queryTableFieldId="5"/>
    <tableColumn id="6" xr3:uid="{A371525C-D282-4365-A9A2-F632D26B761D}" uniqueName="6" name="Height (mm)" queryTableFieldId="6"/>
    <tableColumn id="7" xr3:uid="{A8CABABD-603D-444A-A9F0-293B5E159E92}" uniqueName="7" name="Mass (g)" queryTableFieldId="7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FAD2F4C-5D18-4151-8147-4380D67DCD8D}" name="candle_bark_density__raw" displayName="candle_bark_density__raw" ref="A1:H13" tableType="queryTable" totalsRowShown="0">
  <autoFilter ref="A1:H13" xr:uid="{2FAD2F4C-5D18-4151-8147-4380D67DCD8D}"/>
  <tableColumns count="8">
    <tableColumn id="1" xr3:uid="{EA47F0A2-913C-4F8C-B078-9F03E19C2387}" uniqueName="1" name="File (ID)" queryTableFieldId="1" dataDxfId="1"/>
    <tableColumn id="2" xr3:uid="{2C7739C6-8B5A-4B1C-B672-41E1AD7D1C55}" uniqueName="2" name="Volume (mm3)" queryTableFieldId="2"/>
    <tableColumn id="3" xr3:uid="{47FB67B8-4EF4-4F19-8ACA-1D1A01F30023}" uniqueName="3" name="Surface Area (mm2)" queryTableFieldId="3"/>
    <tableColumn id="4" xr3:uid="{5D6149CE-EC26-471C-8AC0-59F4E4AC058E}" uniqueName="4" name="Length (mm)" queryTableFieldId="4"/>
    <tableColumn id="5" xr3:uid="{49DBA90F-F0FA-4089-8866-976135618C6E}" uniqueName="5" name="Width (mm)" queryTableFieldId="5"/>
    <tableColumn id="6" xr3:uid="{3756DAE4-D4B5-4C70-B0D2-1E01EB687A69}" uniqueName="6" name="Height (mm)" queryTableFieldId="6"/>
    <tableColumn id="8" xr3:uid="{E7B90D9C-7F87-4FCA-9F88-B494B00A2285}" uniqueName="8" name="Fresh mass (g)" queryTableFieldId="8"/>
    <tableColumn id="7" xr3:uid="{A1AB216C-CAE1-44F8-AF34-55078A284E5B}" uniqueName="7" name="Dried mass (g)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B73B-664C-4D63-983A-9B40C9E9FCBC}">
  <dimension ref="A1:I37"/>
  <sheetViews>
    <sheetView tabSelected="1" zoomScale="130" zoomScaleNormal="130" workbookViewId="0">
      <selection activeCell="H26" activeCellId="2" sqref="H34 H30 H26"/>
    </sheetView>
  </sheetViews>
  <sheetFormatPr baseColWidth="10" defaultColWidth="8.6640625" defaultRowHeight="14" x14ac:dyDescent="0.15"/>
  <cols>
    <col min="4" max="4" width="15.1640625" customWidth="1"/>
    <col min="5" max="5" width="18" customWidth="1"/>
    <col min="6" max="6" width="14.5" customWidth="1"/>
    <col min="7" max="7" width="16.5" customWidth="1"/>
    <col min="9" max="9" width="18.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s="4" t="s">
        <v>9</v>
      </c>
      <c r="B2" t="s">
        <v>10</v>
      </c>
      <c r="C2">
        <v>138.63</v>
      </c>
      <c r="D2">
        <v>286.91000000000003</v>
      </c>
      <c r="E2">
        <f>D2-C2</f>
        <v>148.28000000000003</v>
      </c>
      <c r="F2">
        <v>204.99</v>
      </c>
      <c r="G2">
        <f>F2-C2</f>
        <v>66.360000000000014</v>
      </c>
      <c r="H2">
        <f>((E2-G2)/G2)*100</f>
        <v>123.44786015672091</v>
      </c>
      <c r="I2" t="s">
        <v>11</v>
      </c>
    </row>
    <row r="3" spans="1:9" x14ac:dyDescent="0.15">
      <c r="A3" s="4"/>
      <c r="B3" t="s">
        <v>12</v>
      </c>
      <c r="C3">
        <v>24.6</v>
      </c>
      <c r="D3">
        <v>105.33</v>
      </c>
      <c r="E3">
        <f t="shared" ref="E3:E37" si="0">D3-C3</f>
        <v>80.72999999999999</v>
      </c>
      <c r="F3">
        <v>68.12</v>
      </c>
      <c r="G3">
        <f t="shared" ref="G3:G37" si="1">F3-C3</f>
        <v>43.52</v>
      </c>
      <c r="H3">
        <f t="shared" ref="H3:H37" si="2">((E3-G3)/G3)*100</f>
        <v>85.50091911764703</v>
      </c>
      <c r="I3" t="s">
        <v>13</v>
      </c>
    </row>
    <row r="4" spans="1:9" x14ac:dyDescent="0.15">
      <c r="A4" s="4"/>
      <c r="B4" t="s">
        <v>14</v>
      </c>
      <c r="C4">
        <v>24.94</v>
      </c>
      <c r="D4">
        <v>80.930000000000007</v>
      </c>
      <c r="E4">
        <f t="shared" si="0"/>
        <v>55.990000000000009</v>
      </c>
      <c r="F4">
        <v>54.29</v>
      </c>
      <c r="G4">
        <f t="shared" si="1"/>
        <v>29.349999999999998</v>
      </c>
      <c r="H4">
        <f t="shared" si="2"/>
        <v>90.766609880749613</v>
      </c>
      <c r="I4" t="s">
        <v>15</v>
      </c>
    </row>
    <row r="5" spans="1:9" x14ac:dyDescent="0.15">
      <c r="A5" s="4"/>
      <c r="B5" t="s">
        <v>16</v>
      </c>
      <c r="C5">
        <v>45.6</v>
      </c>
      <c r="D5">
        <v>94.24</v>
      </c>
      <c r="E5">
        <f t="shared" si="0"/>
        <v>48.639999999999993</v>
      </c>
      <c r="F5">
        <v>69.83</v>
      </c>
      <c r="G5">
        <f t="shared" si="1"/>
        <v>24.229999999999997</v>
      </c>
      <c r="H5">
        <f t="shared" si="2"/>
        <v>100.74288072637228</v>
      </c>
      <c r="I5" t="s">
        <v>17</v>
      </c>
    </row>
    <row r="6" spans="1:9" x14ac:dyDescent="0.15">
      <c r="A6" s="4"/>
      <c r="B6" t="s">
        <v>18</v>
      </c>
      <c r="C6">
        <v>137.61000000000001</v>
      </c>
      <c r="D6">
        <v>238.66</v>
      </c>
      <c r="E6">
        <f t="shared" si="0"/>
        <v>101.04999999999998</v>
      </c>
      <c r="F6">
        <v>184.9</v>
      </c>
      <c r="G6">
        <f t="shared" si="1"/>
        <v>47.289999999999992</v>
      </c>
      <c r="H6">
        <f t="shared" si="2"/>
        <v>113.68153943751322</v>
      </c>
      <c r="I6" t="s">
        <v>11</v>
      </c>
    </row>
    <row r="7" spans="1:9" x14ac:dyDescent="0.15">
      <c r="A7" s="4"/>
      <c r="B7" t="s">
        <v>19</v>
      </c>
      <c r="C7">
        <v>24.28</v>
      </c>
      <c r="D7">
        <v>64.62</v>
      </c>
      <c r="E7">
        <f t="shared" si="0"/>
        <v>40.340000000000003</v>
      </c>
      <c r="F7">
        <v>49.37</v>
      </c>
      <c r="G7">
        <f t="shared" si="1"/>
        <v>25.089999999999996</v>
      </c>
      <c r="H7">
        <f t="shared" si="2"/>
        <v>60.781187724192939</v>
      </c>
      <c r="I7" t="s">
        <v>13</v>
      </c>
    </row>
    <row r="8" spans="1:9" x14ac:dyDescent="0.15">
      <c r="A8" s="4"/>
      <c r="B8" t="s">
        <v>20</v>
      </c>
      <c r="C8">
        <v>24.65</v>
      </c>
      <c r="D8">
        <v>73.27</v>
      </c>
      <c r="E8">
        <f t="shared" si="0"/>
        <v>48.62</v>
      </c>
      <c r="F8">
        <v>48.44</v>
      </c>
      <c r="G8">
        <f t="shared" si="1"/>
        <v>23.79</v>
      </c>
      <c r="H8">
        <f t="shared" si="2"/>
        <v>104.37158469945356</v>
      </c>
      <c r="I8" t="s">
        <v>15</v>
      </c>
    </row>
    <row r="9" spans="1:9" x14ac:dyDescent="0.15">
      <c r="A9" s="4"/>
      <c r="B9" t="s">
        <v>21</v>
      </c>
      <c r="C9">
        <v>45.52</v>
      </c>
      <c r="D9">
        <v>97.78</v>
      </c>
      <c r="E9">
        <f t="shared" si="0"/>
        <v>52.26</v>
      </c>
      <c r="F9">
        <v>68.09</v>
      </c>
      <c r="G9">
        <f t="shared" si="1"/>
        <v>22.57</v>
      </c>
      <c r="H9">
        <f t="shared" si="2"/>
        <v>131.5463003987594</v>
      </c>
      <c r="I9" t="s">
        <v>17</v>
      </c>
    </row>
    <row r="10" spans="1:9" x14ac:dyDescent="0.15">
      <c r="A10" s="4"/>
      <c r="B10" t="s">
        <v>22</v>
      </c>
      <c r="C10">
        <v>138.38</v>
      </c>
      <c r="D10">
        <v>364.84</v>
      </c>
      <c r="E10">
        <f t="shared" si="0"/>
        <v>226.45999999999998</v>
      </c>
      <c r="F10">
        <v>250.59</v>
      </c>
      <c r="G10">
        <f t="shared" si="1"/>
        <v>112.21000000000001</v>
      </c>
      <c r="H10">
        <f t="shared" si="2"/>
        <v>101.81801978433292</v>
      </c>
      <c r="I10" t="s">
        <v>11</v>
      </c>
    </row>
    <row r="11" spans="1:9" x14ac:dyDescent="0.15">
      <c r="A11" s="4"/>
      <c r="B11" t="s">
        <v>23</v>
      </c>
      <c r="C11">
        <v>24.76</v>
      </c>
      <c r="D11">
        <v>89.33</v>
      </c>
      <c r="E11">
        <f t="shared" si="0"/>
        <v>64.569999999999993</v>
      </c>
      <c r="F11">
        <v>59.64</v>
      </c>
      <c r="G11">
        <f t="shared" si="1"/>
        <v>34.879999999999995</v>
      </c>
      <c r="H11">
        <f t="shared" si="2"/>
        <v>85.120412844036693</v>
      </c>
      <c r="I11" t="s">
        <v>13</v>
      </c>
    </row>
    <row r="12" spans="1:9" x14ac:dyDescent="0.15">
      <c r="A12" s="4"/>
      <c r="B12" t="s">
        <v>24</v>
      </c>
      <c r="C12">
        <v>24.67</v>
      </c>
      <c r="D12">
        <v>85.06</v>
      </c>
      <c r="E12">
        <f t="shared" si="0"/>
        <v>60.39</v>
      </c>
      <c r="F12">
        <v>55.96</v>
      </c>
      <c r="G12">
        <f t="shared" si="1"/>
        <v>31.29</v>
      </c>
      <c r="H12">
        <f t="shared" si="2"/>
        <v>93.000958772770858</v>
      </c>
      <c r="I12" t="s">
        <v>15</v>
      </c>
    </row>
    <row r="13" spans="1:9" x14ac:dyDescent="0.15">
      <c r="A13" s="4"/>
      <c r="B13" t="s">
        <v>25</v>
      </c>
      <c r="C13">
        <v>44.64</v>
      </c>
      <c r="D13">
        <v>95.31</v>
      </c>
      <c r="E13">
        <f t="shared" si="0"/>
        <v>50.67</v>
      </c>
      <c r="F13">
        <v>68.36</v>
      </c>
      <c r="G13">
        <f t="shared" si="1"/>
        <v>23.72</v>
      </c>
      <c r="H13">
        <f t="shared" si="2"/>
        <v>113.61720067453626</v>
      </c>
      <c r="I13" t="s">
        <v>17</v>
      </c>
    </row>
    <row r="14" spans="1:9" x14ac:dyDescent="0.15">
      <c r="A14" s="4" t="s">
        <v>26</v>
      </c>
      <c r="B14" t="s">
        <v>10</v>
      </c>
      <c r="C14">
        <v>138.63</v>
      </c>
      <c r="D14">
        <v>361.9</v>
      </c>
      <c r="E14">
        <f t="shared" si="0"/>
        <v>223.26999999999998</v>
      </c>
      <c r="F14">
        <v>233.71</v>
      </c>
      <c r="G14">
        <f t="shared" si="1"/>
        <v>95.080000000000013</v>
      </c>
      <c r="H14">
        <f t="shared" si="2"/>
        <v>134.82330668910387</v>
      </c>
      <c r="I14" t="s">
        <v>11</v>
      </c>
    </row>
    <row r="15" spans="1:9" x14ac:dyDescent="0.15">
      <c r="A15" s="4"/>
      <c r="B15" t="s">
        <v>12</v>
      </c>
      <c r="C15">
        <v>24.6</v>
      </c>
      <c r="D15">
        <v>69.11</v>
      </c>
      <c r="E15">
        <f t="shared" si="0"/>
        <v>44.51</v>
      </c>
      <c r="F15">
        <v>45.65</v>
      </c>
      <c r="G15">
        <f t="shared" si="1"/>
        <v>21.049999999999997</v>
      </c>
      <c r="H15">
        <f t="shared" si="2"/>
        <v>111.44893111638956</v>
      </c>
      <c r="I15" t="s">
        <v>13</v>
      </c>
    </row>
    <row r="16" spans="1:9" x14ac:dyDescent="0.15">
      <c r="A16" s="4"/>
      <c r="B16" t="s">
        <v>14</v>
      </c>
      <c r="C16">
        <v>24.94</v>
      </c>
      <c r="D16">
        <v>76.69</v>
      </c>
      <c r="E16">
        <f t="shared" si="0"/>
        <v>51.75</v>
      </c>
      <c r="F16">
        <v>49.35</v>
      </c>
      <c r="G16">
        <f t="shared" si="1"/>
        <v>24.41</v>
      </c>
      <c r="H16">
        <f t="shared" si="2"/>
        <v>112.00327734535027</v>
      </c>
      <c r="I16" t="s">
        <v>15</v>
      </c>
    </row>
    <row r="17" spans="1:9" x14ac:dyDescent="0.15">
      <c r="A17" s="4"/>
      <c r="B17" t="s">
        <v>16</v>
      </c>
      <c r="C17">
        <v>45.6</v>
      </c>
      <c r="D17">
        <v>87.25</v>
      </c>
      <c r="E17">
        <f t="shared" si="0"/>
        <v>41.65</v>
      </c>
      <c r="F17">
        <v>64.849999999999994</v>
      </c>
      <c r="G17">
        <f t="shared" si="1"/>
        <v>19.249999999999993</v>
      </c>
      <c r="H17">
        <f t="shared" si="2"/>
        <v>116.36363636363645</v>
      </c>
      <c r="I17" t="s">
        <v>17</v>
      </c>
    </row>
    <row r="18" spans="1:9" x14ac:dyDescent="0.15">
      <c r="A18" s="4"/>
      <c r="B18" t="s">
        <v>18</v>
      </c>
      <c r="C18">
        <v>137.61000000000001</v>
      </c>
      <c r="D18">
        <v>210.38</v>
      </c>
      <c r="E18">
        <f t="shared" si="0"/>
        <v>72.769999999999982</v>
      </c>
      <c r="F18">
        <v>168.1</v>
      </c>
      <c r="G18">
        <f t="shared" si="1"/>
        <v>30.489999999999981</v>
      </c>
      <c r="H18">
        <f t="shared" si="2"/>
        <v>138.66841587405716</v>
      </c>
      <c r="I18" t="s">
        <v>11</v>
      </c>
    </row>
    <row r="19" spans="1:9" x14ac:dyDescent="0.15">
      <c r="A19" s="4"/>
      <c r="B19" t="s">
        <v>19</v>
      </c>
      <c r="C19">
        <v>24.28</v>
      </c>
      <c r="D19">
        <v>59.37</v>
      </c>
      <c r="E19">
        <f t="shared" si="0"/>
        <v>35.089999999999996</v>
      </c>
      <c r="F19">
        <v>41.25</v>
      </c>
      <c r="G19">
        <f t="shared" si="1"/>
        <v>16.97</v>
      </c>
      <c r="H19">
        <f t="shared" si="2"/>
        <v>106.77666470241603</v>
      </c>
      <c r="I19" t="s">
        <v>13</v>
      </c>
    </row>
    <row r="20" spans="1:9" x14ac:dyDescent="0.15">
      <c r="A20" s="4"/>
      <c r="B20" t="s">
        <v>20</v>
      </c>
      <c r="C20">
        <v>24.65</v>
      </c>
      <c r="D20">
        <v>59.63</v>
      </c>
      <c r="E20">
        <f t="shared" si="0"/>
        <v>34.980000000000004</v>
      </c>
      <c r="F20">
        <v>46.57</v>
      </c>
      <c r="G20">
        <f t="shared" si="1"/>
        <v>21.92</v>
      </c>
      <c r="H20">
        <f t="shared" si="2"/>
        <v>59.580291970802925</v>
      </c>
      <c r="I20" t="s">
        <v>15</v>
      </c>
    </row>
    <row r="21" spans="1:9" x14ac:dyDescent="0.15">
      <c r="A21" s="4"/>
      <c r="B21" t="s">
        <v>21</v>
      </c>
      <c r="C21">
        <v>45.52</v>
      </c>
      <c r="D21">
        <v>87.01</v>
      </c>
      <c r="E21">
        <f t="shared" si="0"/>
        <v>41.49</v>
      </c>
      <c r="F21">
        <v>65.2</v>
      </c>
      <c r="G21">
        <f t="shared" si="1"/>
        <v>19.68</v>
      </c>
      <c r="H21">
        <f t="shared" si="2"/>
        <v>110.82317073170734</v>
      </c>
      <c r="I21" t="s">
        <v>17</v>
      </c>
    </row>
    <row r="22" spans="1:9" x14ac:dyDescent="0.15">
      <c r="A22" s="4"/>
      <c r="B22" t="s">
        <v>22</v>
      </c>
      <c r="C22">
        <v>138.38</v>
      </c>
      <c r="D22">
        <v>336.63</v>
      </c>
      <c r="E22">
        <f t="shared" si="0"/>
        <v>198.25</v>
      </c>
      <c r="F22">
        <v>221.09</v>
      </c>
      <c r="G22">
        <f t="shared" si="1"/>
        <v>82.710000000000008</v>
      </c>
      <c r="H22">
        <f t="shared" si="2"/>
        <v>139.69290291379517</v>
      </c>
      <c r="I22" t="s">
        <v>11</v>
      </c>
    </row>
    <row r="23" spans="1:9" x14ac:dyDescent="0.15">
      <c r="A23" s="4"/>
      <c r="B23" t="s">
        <v>23</v>
      </c>
      <c r="C23">
        <v>24.76</v>
      </c>
      <c r="D23">
        <v>49.93</v>
      </c>
      <c r="E23">
        <f t="shared" si="0"/>
        <v>25.169999999999998</v>
      </c>
      <c r="F23">
        <v>36.119999999999997</v>
      </c>
      <c r="G23">
        <f t="shared" si="1"/>
        <v>11.359999999999996</v>
      </c>
      <c r="H23">
        <f t="shared" si="2"/>
        <v>121.56690140845076</v>
      </c>
      <c r="I23" t="s">
        <v>13</v>
      </c>
    </row>
    <row r="24" spans="1:9" x14ac:dyDescent="0.15">
      <c r="A24" s="4"/>
      <c r="B24" t="s">
        <v>24</v>
      </c>
      <c r="C24">
        <v>24.67</v>
      </c>
      <c r="D24">
        <v>64.430000000000007</v>
      </c>
      <c r="E24">
        <f t="shared" si="0"/>
        <v>39.760000000000005</v>
      </c>
      <c r="F24">
        <v>42.84</v>
      </c>
      <c r="G24">
        <f t="shared" si="1"/>
        <v>18.170000000000002</v>
      </c>
      <c r="H24">
        <f t="shared" si="2"/>
        <v>118.82223445239406</v>
      </c>
      <c r="I24" t="s">
        <v>15</v>
      </c>
    </row>
    <row r="25" spans="1:9" x14ac:dyDescent="0.15">
      <c r="A25" s="4"/>
      <c r="B25" t="s">
        <v>25</v>
      </c>
      <c r="C25">
        <v>44.64</v>
      </c>
      <c r="D25">
        <v>80.069999999999993</v>
      </c>
      <c r="E25">
        <f t="shared" si="0"/>
        <v>35.429999999999993</v>
      </c>
      <c r="F25">
        <v>60.85</v>
      </c>
      <c r="G25">
        <f t="shared" si="1"/>
        <v>16.21</v>
      </c>
      <c r="H25">
        <f t="shared" si="2"/>
        <v>118.56878470080193</v>
      </c>
      <c r="I25" t="s">
        <v>17</v>
      </c>
    </row>
    <row r="26" spans="1:9" x14ac:dyDescent="0.15">
      <c r="A26" s="4" t="s">
        <v>27</v>
      </c>
      <c r="B26" t="s">
        <v>10</v>
      </c>
      <c r="C26">
        <v>138.63</v>
      </c>
      <c r="D26">
        <v>244.33</v>
      </c>
      <c r="E26">
        <f t="shared" si="0"/>
        <v>105.70000000000002</v>
      </c>
      <c r="F26">
        <v>189.06</v>
      </c>
      <c r="G26">
        <f t="shared" si="1"/>
        <v>50.430000000000007</v>
      </c>
      <c r="H26">
        <f t="shared" si="2"/>
        <v>109.59746182827683</v>
      </c>
      <c r="I26" t="s">
        <v>11</v>
      </c>
    </row>
    <row r="27" spans="1:9" x14ac:dyDescent="0.15">
      <c r="A27" s="4"/>
      <c r="B27" t="s">
        <v>12</v>
      </c>
      <c r="C27">
        <v>24.6</v>
      </c>
      <c r="D27">
        <v>75.06</v>
      </c>
      <c r="E27">
        <f t="shared" si="0"/>
        <v>50.46</v>
      </c>
      <c r="F27">
        <v>51.24</v>
      </c>
      <c r="G27">
        <f t="shared" si="1"/>
        <v>26.64</v>
      </c>
      <c r="H27">
        <f t="shared" si="2"/>
        <v>89.414414414414409</v>
      </c>
      <c r="I27" t="s">
        <v>13</v>
      </c>
    </row>
    <row r="28" spans="1:9" x14ac:dyDescent="0.15">
      <c r="A28" s="4"/>
      <c r="B28" t="s">
        <v>14</v>
      </c>
      <c r="C28">
        <v>24.94</v>
      </c>
      <c r="D28">
        <v>70.89</v>
      </c>
      <c r="E28">
        <f t="shared" si="0"/>
        <v>45.95</v>
      </c>
      <c r="F28">
        <v>49.89</v>
      </c>
      <c r="G28">
        <f t="shared" si="1"/>
        <v>24.95</v>
      </c>
      <c r="H28">
        <f t="shared" si="2"/>
        <v>84.168336673346715</v>
      </c>
      <c r="I28" t="s">
        <v>15</v>
      </c>
    </row>
    <row r="29" spans="1:9" x14ac:dyDescent="0.15">
      <c r="A29" s="4"/>
      <c r="B29" t="s">
        <v>16</v>
      </c>
      <c r="C29">
        <v>45.6</v>
      </c>
      <c r="D29">
        <v>83.26</v>
      </c>
      <c r="E29">
        <f t="shared" si="0"/>
        <v>37.660000000000004</v>
      </c>
      <c r="F29">
        <v>64.22</v>
      </c>
      <c r="G29">
        <f t="shared" si="1"/>
        <v>18.619999999999997</v>
      </c>
      <c r="H29">
        <f t="shared" si="2"/>
        <v>102.25563909774439</v>
      </c>
      <c r="I29" t="s">
        <v>17</v>
      </c>
    </row>
    <row r="30" spans="1:9" x14ac:dyDescent="0.15">
      <c r="A30" s="4"/>
      <c r="B30" t="s">
        <v>18</v>
      </c>
      <c r="C30">
        <v>137.61000000000001</v>
      </c>
      <c r="D30">
        <v>199.55</v>
      </c>
      <c r="E30">
        <f t="shared" si="0"/>
        <v>61.94</v>
      </c>
      <c r="F30">
        <v>167.06</v>
      </c>
      <c r="G30">
        <f t="shared" si="1"/>
        <v>29.449999999999989</v>
      </c>
      <c r="H30">
        <f t="shared" si="2"/>
        <v>110.32258064516137</v>
      </c>
      <c r="I30" t="s">
        <v>11</v>
      </c>
    </row>
    <row r="31" spans="1:9" x14ac:dyDescent="0.15">
      <c r="A31" s="4"/>
      <c r="B31" t="s">
        <v>19</v>
      </c>
      <c r="C31">
        <v>24.28</v>
      </c>
      <c r="D31">
        <v>58.5</v>
      </c>
      <c r="E31">
        <f t="shared" si="0"/>
        <v>34.22</v>
      </c>
      <c r="F31">
        <v>43.43</v>
      </c>
      <c r="G31">
        <f t="shared" si="1"/>
        <v>19.149999999999999</v>
      </c>
      <c r="H31">
        <f t="shared" si="2"/>
        <v>78.694516971279384</v>
      </c>
      <c r="I31" t="s">
        <v>13</v>
      </c>
    </row>
    <row r="32" spans="1:9" x14ac:dyDescent="0.15">
      <c r="A32" s="4"/>
      <c r="B32" t="s">
        <v>20</v>
      </c>
      <c r="C32">
        <v>24.65</v>
      </c>
      <c r="D32">
        <v>78.23</v>
      </c>
      <c r="E32">
        <f t="shared" si="0"/>
        <v>53.580000000000005</v>
      </c>
      <c r="F32">
        <v>53.14</v>
      </c>
      <c r="G32">
        <f t="shared" si="1"/>
        <v>28.490000000000002</v>
      </c>
      <c r="H32">
        <f t="shared" si="2"/>
        <v>88.06598806598808</v>
      </c>
      <c r="I32" t="s">
        <v>15</v>
      </c>
    </row>
    <row r="33" spans="1:9" x14ac:dyDescent="0.15">
      <c r="A33" s="4"/>
      <c r="B33" t="s">
        <v>21</v>
      </c>
      <c r="C33">
        <v>45.52</v>
      </c>
      <c r="D33">
        <v>89.25</v>
      </c>
      <c r="E33">
        <f t="shared" si="0"/>
        <v>43.73</v>
      </c>
      <c r="F33">
        <v>67.66</v>
      </c>
      <c r="G33">
        <f t="shared" si="1"/>
        <v>22.139999999999993</v>
      </c>
      <c r="H33">
        <f t="shared" si="2"/>
        <v>97.515808491418284</v>
      </c>
      <c r="I33" t="s">
        <v>17</v>
      </c>
    </row>
    <row r="34" spans="1:9" x14ac:dyDescent="0.15">
      <c r="A34" s="4"/>
      <c r="B34" t="s">
        <v>22</v>
      </c>
      <c r="C34">
        <v>138.38</v>
      </c>
      <c r="D34">
        <v>288.02999999999997</v>
      </c>
      <c r="E34">
        <f t="shared" si="0"/>
        <v>149.64999999999998</v>
      </c>
      <c r="F34">
        <v>207.86</v>
      </c>
      <c r="G34">
        <f t="shared" si="1"/>
        <v>69.480000000000018</v>
      </c>
      <c r="H34">
        <f t="shared" si="2"/>
        <v>115.38572251007476</v>
      </c>
      <c r="I34" t="s">
        <v>11</v>
      </c>
    </row>
    <row r="35" spans="1:9" x14ac:dyDescent="0.15">
      <c r="A35" s="4"/>
      <c r="B35" t="s">
        <v>23</v>
      </c>
      <c r="C35">
        <v>24.76</v>
      </c>
      <c r="D35">
        <v>96.54</v>
      </c>
      <c r="E35">
        <f t="shared" si="0"/>
        <v>71.78</v>
      </c>
      <c r="F35">
        <v>61.05</v>
      </c>
      <c r="G35">
        <f t="shared" si="1"/>
        <v>36.289999999999992</v>
      </c>
      <c r="H35">
        <f t="shared" si="2"/>
        <v>97.795535960319697</v>
      </c>
      <c r="I35" t="s">
        <v>13</v>
      </c>
    </row>
    <row r="36" spans="1:9" x14ac:dyDescent="0.15">
      <c r="A36" s="4"/>
      <c r="B36" t="s">
        <v>24</v>
      </c>
      <c r="C36">
        <v>24.67</v>
      </c>
      <c r="D36">
        <v>79.209999999999994</v>
      </c>
      <c r="E36">
        <f t="shared" si="0"/>
        <v>54.539999999999992</v>
      </c>
      <c r="F36">
        <v>52.36</v>
      </c>
      <c r="G36">
        <f t="shared" si="1"/>
        <v>27.689999999999998</v>
      </c>
      <c r="H36">
        <f t="shared" si="2"/>
        <v>96.966413867822311</v>
      </c>
      <c r="I36" t="s">
        <v>15</v>
      </c>
    </row>
    <row r="37" spans="1:9" x14ac:dyDescent="0.15">
      <c r="A37" s="4"/>
      <c r="B37" t="s">
        <v>25</v>
      </c>
      <c r="C37">
        <v>44.64</v>
      </c>
      <c r="D37">
        <v>87.11</v>
      </c>
      <c r="E37">
        <f t="shared" si="0"/>
        <v>42.47</v>
      </c>
      <c r="F37">
        <v>65.92</v>
      </c>
      <c r="G37">
        <f t="shared" si="1"/>
        <v>21.28</v>
      </c>
      <c r="H37">
        <f t="shared" si="2"/>
        <v>99.577067669172919</v>
      </c>
      <c r="I37" t="s">
        <v>17</v>
      </c>
    </row>
  </sheetData>
  <mergeCells count="3">
    <mergeCell ref="A2:A13"/>
    <mergeCell ref="A14:A25"/>
    <mergeCell ref="A26:A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8A7A-28A1-49D8-8D61-E28599DFD9B4}">
  <dimension ref="A1:G37"/>
  <sheetViews>
    <sheetView zoomScale="115" zoomScaleNormal="115" workbookViewId="0">
      <selection activeCell="E9" sqref="E9"/>
    </sheetView>
  </sheetViews>
  <sheetFormatPr baseColWidth="10" defaultColWidth="8.6640625" defaultRowHeight="14" x14ac:dyDescent="0.15"/>
  <cols>
    <col min="2" max="2" width="15.1640625" customWidth="1"/>
    <col min="3" max="3" width="13.6640625" customWidth="1"/>
    <col min="4" max="4" width="15.1640625" customWidth="1"/>
    <col min="6" max="6" width="18.6640625" customWidth="1"/>
    <col min="7" max="7" width="11.1640625" customWidth="1"/>
  </cols>
  <sheetData>
    <row r="1" spans="1:7" x14ac:dyDescent="0.15">
      <c r="A1" t="s">
        <v>0</v>
      </c>
      <c r="B1" t="s">
        <v>17</v>
      </c>
      <c r="C1" t="s">
        <v>15</v>
      </c>
      <c r="D1" t="s">
        <v>13</v>
      </c>
      <c r="E1" t="s">
        <v>11</v>
      </c>
      <c r="F1" t="s">
        <v>28</v>
      </c>
      <c r="G1" t="s">
        <v>29</v>
      </c>
    </row>
    <row r="2" spans="1:7" x14ac:dyDescent="0.15">
      <c r="A2" s="4" t="s">
        <v>9</v>
      </c>
      <c r="B2">
        <v>100.74288072637228</v>
      </c>
      <c r="C2">
        <v>90.766609880749613</v>
      </c>
      <c r="D2">
        <v>85.50091911764703</v>
      </c>
      <c r="E2">
        <v>123.44786015672091</v>
      </c>
      <c r="F2">
        <v>100.74288072637228</v>
      </c>
      <c r="G2">
        <v>100.74288072637228</v>
      </c>
    </row>
    <row r="3" spans="1:7" x14ac:dyDescent="0.15">
      <c r="A3" s="4"/>
      <c r="B3">
        <v>131.5463003987594</v>
      </c>
      <c r="C3">
        <v>104.37158469945356</v>
      </c>
      <c r="D3">
        <v>60.781187724192939</v>
      </c>
      <c r="E3">
        <v>113.68153943751322</v>
      </c>
      <c r="F3">
        <v>131.5463003987594</v>
      </c>
      <c r="G3">
        <v>131.5463003987594</v>
      </c>
    </row>
    <row r="4" spans="1:7" x14ac:dyDescent="0.15">
      <c r="A4" s="4"/>
      <c r="B4">
        <v>113.61720067453626</v>
      </c>
      <c r="C4">
        <v>93.000958772770858</v>
      </c>
      <c r="D4">
        <v>85.120412844036693</v>
      </c>
      <c r="E4">
        <v>101.81801978433292</v>
      </c>
      <c r="F4">
        <v>113.61720067453626</v>
      </c>
      <c r="G4">
        <v>113.61720067453626</v>
      </c>
    </row>
    <row r="5" spans="1:7" x14ac:dyDescent="0.15">
      <c r="A5" s="4"/>
      <c r="F5">
        <v>90.766609880749613</v>
      </c>
      <c r="G5">
        <v>90.766609880749613</v>
      </c>
    </row>
    <row r="6" spans="1:7" x14ac:dyDescent="0.15">
      <c r="A6" s="4"/>
      <c r="F6">
        <v>104.37158469945356</v>
      </c>
      <c r="G6">
        <v>104.37158469945356</v>
      </c>
    </row>
    <row r="7" spans="1:7" x14ac:dyDescent="0.15">
      <c r="A7" s="4"/>
      <c r="F7">
        <v>93.000958772770858</v>
      </c>
      <c r="G7">
        <v>93.000958772770858</v>
      </c>
    </row>
    <row r="8" spans="1:7" x14ac:dyDescent="0.15">
      <c r="A8" s="4"/>
      <c r="F8">
        <v>85.50091911764703</v>
      </c>
      <c r="G8">
        <v>85.50091911764703</v>
      </c>
    </row>
    <row r="9" spans="1:7" x14ac:dyDescent="0.15">
      <c r="A9" s="4"/>
      <c r="F9">
        <v>60.781187724192939</v>
      </c>
      <c r="G9">
        <v>60.781187724192939</v>
      </c>
    </row>
    <row r="10" spans="1:7" x14ac:dyDescent="0.15">
      <c r="A10" s="4"/>
      <c r="F10">
        <v>85.120412844036693</v>
      </c>
      <c r="G10">
        <v>85.120412844036693</v>
      </c>
    </row>
    <row r="11" spans="1:7" x14ac:dyDescent="0.15">
      <c r="A11" s="4"/>
      <c r="G11">
        <v>123.44786015672091</v>
      </c>
    </row>
    <row r="12" spans="1:7" x14ac:dyDescent="0.15">
      <c r="A12" s="4"/>
      <c r="G12">
        <v>113.68153943751322</v>
      </c>
    </row>
    <row r="13" spans="1:7" x14ac:dyDescent="0.15">
      <c r="A13" s="4"/>
      <c r="G13">
        <v>101.81801978433292</v>
      </c>
    </row>
    <row r="14" spans="1:7" x14ac:dyDescent="0.15">
      <c r="A14" s="4" t="s">
        <v>26</v>
      </c>
      <c r="B14">
        <v>116.36363636363645</v>
      </c>
      <c r="C14">
        <v>112.00327734535027</v>
      </c>
      <c r="D14">
        <v>111.44893111638956</v>
      </c>
      <c r="E14">
        <v>134.82330668910387</v>
      </c>
      <c r="F14">
        <v>116.36363636363645</v>
      </c>
      <c r="G14">
        <v>116.36363636363645</v>
      </c>
    </row>
    <row r="15" spans="1:7" x14ac:dyDescent="0.15">
      <c r="A15" s="4"/>
      <c r="B15">
        <v>110.82317073170734</v>
      </c>
      <c r="C15">
        <v>59.580291970802925</v>
      </c>
      <c r="D15">
        <v>106.77666470241603</v>
      </c>
      <c r="E15">
        <v>138.66841587405716</v>
      </c>
      <c r="F15">
        <v>110.82317073170734</v>
      </c>
      <c r="G15">
        <v>110.82317073170734</v>
      </c>
    </row>
    <row r="16" spans="1:7" x14ac:dyDescent="0.15">
      <c r="A16" s="4"/>
      <c r="B16">
        <v>118.56878470080193</v>
      </c>
      <c r="C16">
        <v>118.82223445239406</v>
      </c>
      <c r="D16">
        <v>121.56690140845076</v>
      </c>
      <c r="E16">
        <v>139.69290291379517</v>
      </c>
      <c r="F16">
        <v>118.56878470080193</v>
      </c>
      <c r="G16">
        <v>118.56878470080193</v>
      </c>
    </row>
    <row r="17" spans="1:7" x14ac:dyDescent="0.15">
      <c r="A17" s="4"/>
      <c r="F17">
        <v>112.00327734535027</v>
      </c>
      <c r="G17">
        <v>112.00327734535027</v>
      </c>
    </row>
    <row r="18" spans="1:7" x14ac:dyDescent="0.15">
      <c r="A18" s="4"/>
      <c r="F18">
        <v>59.580291970802925</v>
      </c>
      <c r="G18">
        <v>59.580291970802925</v>
      </c>
    </row>
    <row r="19" spans="1:7" x14ac:dyDescent="0.15">
      <c r="A19" s="4"/>
      <c r="F19">
        <v>118.82223445239406</v>
      </c>
      <c r="G19">
        <v>118.82223445239406</v>
      </c>
    </row>
    <row r="20" spans="1:7" x14ac:dyDescent="0.15">
      <c r="A20" s="4"/>
      <c r="F20">
        <v>111.44893111638956</v>
      </c>
      <c r="G20">
        <v>111.44893111638956</v>
      </c>
    </row>
    <row r="21" spans="1:7" x14ac:dyDescent="0.15">
      <c r="A21" s="4"/>
      <c r="F21">
        <v>106.77666470241603</v>
      </c>
      <c r="G21">
        <v>106.77666470241603</v>
      </c>
    </row>
    <row r="22" spans="1:7" x14ac:dyDescent="0.15">
      <c r="A22" s="4"/>
      <c r="F22">
        <v>121.56690140845076</v>
      </c>
      <c r="G22">
        <v>121.56690140845076</v>
      </c>
    </row>
    <row r="23" spans="1:7" x14ac:dyDescent="0.15">
      <c r="A23" s="4"/>
      <c r="G23">
        <v>134.82330668910387</v>
      </c>
    </row>
    <row r="24" spans="1:7" x14ac:dyDescent="0.15">
      <c r="A24" s="4"/>
      <c r="G24">
        <v>138.66841587405716</v>
      </c>
    </row>
    <row r="25" spans="1:7" x14ac:dyDescent="0.15">
      <c r="A25" s="4"/>
      <c r="G25">
        <v>139.69290291379517</v>
      </c>
    </row>
    <row r="26" spans="1:7" x14ac:dyDescent="0.15">
      <c r="A26" s="4" t="s">
        <v>27</v>
      </c>
      <c r="B26">
        <v>102.25563909774439</v>
      </c>
      <c r="C26">
        <v>84.168336673346715</v>
      </c>
      <c r="D26">
        <v>89.414414414414409</v>
      </c>
      <c r="E26">
        <v>109.59746182827683</v>
      </c>
      <c r="F26">
        <v>102.25563909774439</v>
      </c>
      <c r="G26">
        <v>102.25563909774439</v>
      </c>
    </row>
    <row r="27" spans="1:7" x14ac:dyDescent="0.15">
      <c r="A27" s="4"/>
      <c r="B27">
        <v>97.515808491418284</v>
      </c>
      <c r="C27">
        <v>88.06598806598808</v>
      </c>
      <c r="D27">
        <v>78.694516971279384</v>
      </c>
      <c r="E27">
        <v>110.32258064516137</v>
      </c>
      <c r="F27">
        <v>97.515808491418284</v>
      </c>
      <c r="G27">
        <v>97.515808491418284</v>
      </c>
    </row>
    <row r="28" spans="1:7" x14ac:dyDescent="0.15">
      <c r="A28" s="4"/>
      <c r="B28">
        <v>99.577067669172919</v>
      </c>
      <c r="C28">
        <v>96.966413867822311</v>
      </c>
      <c r="D28">
        <v>97.795535960319697</v>
      </c>
      <c r="E28">
        <v>115.38572251007476</v>
      </c>
      <c r="F28">
        <v>99.577067669172919</v>
      </c>
      <c r="G28">
        <v>99.577067669172919</v>
      </c>
    </row>
    <row r="29" spans="1:7" x14ac:dyDescent="0.15">
      <c r="A29" s="4"/>
      <c r="F29">
        <v>84.168336673346715</v>
      </c>
      <c r="G29">
        <v>84.168336673346715</v>
      </c>
    </row>
    <row r="30" spans="1:7" x14ac:dyDescent="0.15">
      <c r="A30" s="4"/>
      <c r="F30">
        <v>88.06598806598808</v>
      </c>
      <c r="G30">
        <v>88.06598806598808</v>
      </c>
    </row>
    <row r="31" spans="1:7" x14ac:dyDescent="0.15">
      <c r="A31" s="4"/>
      <c r="F31">
        <v>96.966413867822311</v>
      </c>
      <c r="G31">
        <v>96.966413867822311</v>
      </c>
    </row>
    <row r="32" spans="1:7" x14ac:dyDescent="0.15">
      <c r="A32" s="4"/>
      <c r="F32">
        <v>89.414414414414409</v>
      </c>
      <c r="G32">
        <v>89.414414414414409</v>
      </c>
    </row>
    <row r="33" spans="1:7" x14ac:dyDescent="0.15">
      <c r="A33" s="4"/>
      <c r="F33">
        <v>78.694516971279384</v>
      </c>
      <c r="G33">
        <v>78.694516971279384</v>
      </c>
    </row>
    <row r="34" spans="1:7" x14ac:dyDescent="0.15">
      <c r="A34" s="4"/>
      <c r="F34">
        <v>97.795535960319697</v>
      </c>
      <c r="G34">
        <v>97.795535960319697</v>
      </c>
    </row>
    <row r="35" spans="1:7" x14ac:dyDescent="0.15">
      <c r="A35" s="4"/>
      <c r="G35">
        <v>109.59746182827683</v>
      </c>
    </row>
    <row r="36" spans="1:7" x14ac:dyDescent="0.15">
      <c r="A36" s="4"/>
      <c r="G36">
        <v>110.32258064516137</v>
      </c>
    </row>
    <row r="37" spans="1:7" x14ac:dyDescent="0.15">
      <c r="A37" s="4"/>
      <c r="G37">
        <v>115.38572251007476</v>
      </c>
    </row>
  </sheetData>
  <mergeCells count="3">
    <mergeCell ref="A2:A13"/>
    <mergeCell ref="A14:A25"/>
    <mergeCell ref="A26:A3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F109-B2C8-4C3D-936F-E2C6004E4E70}">
  <dimension ref="A1:G28"/>
  <sheetViews>
    <sheetView topLeftCell="B1" zoomScale="181" workbookViewId="0">
      <selection activeCell="B1" sqref="B1"/>
    </sheetView>
  </sheetViews>
  <sheetFormatPr baseColWidth="10" defaultColWidth="8.6640625" defaultRowHeight="14" x14ac:dyDescent="0.15"/>
  <cols>
    <col min="1" max="1" width="22.1640625" bestFit="1" customWidth="1"/>
    <col min="2" max="2" width="15.5" bestFit="1" customWidth="1"/>
    <col min="3" max="3" width="20.1640625" bestFit="1" customWidth="1"/>
    <col min="4" max="4" width="14.1640625" bestFit="1" customWidth="1"/>
    <col min="5" max="5" width="13" bestFit="1" customWidth="1"/>
    <col min="6" max="6" width="13.6640625" bestFit="1" customWidth="1"/>
    <col min="7" max="7" width="10.1640625" bestFit="1" customWidth="1"/>
  </cols>
  <sheetData>
    <row r="1" spans="1:7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15">
      <c r="A2" t="s">
        <v>35</v>
      </c>
      <c r="B2">
        <v>1922.0440000000001</v>
      </c>
      <c r="C2">
        <v>1199.4449999999999</v>
      </c>
      <c r="D2">
        <v>29.952999999999999</v>
      </c>
      <c r="E2">
        <v>31.533000000000001</v>
      </c>
      <c r="F2">
        <v>40.176000000000002</v>
      </c>
      <c r="G2" t="s">
        <v>36</v>
      </c>
    </row>
    <row r="3" spans="1:7" x14ac:dyDescent="0.15">
      <c r="A3" t="s">
        <v>37</v>
      </c>
      <c r="B3">
        <v>8193.8709999999992</v>
      </c>
      <c r="C3">
        <v>2858.9270000000001</v>
      </c>
      <c r="D3">
        <v>36.232999999999997</v>
      </c>
      <c r="E3">
        <v>38.756</v>
      </c>
      <c r="F3">
        <v>49.624000000000002</v>
      </c>
      <c r="G3" t="s">
        <v>36</v>
      </c>
    </row>
    <row r="4" spans="1:7" x14ac:dyDescent="0.15">
      <c r="A4" t="s">
        <v>38</v>
      </c>
      <c r="B4">
        <v>458.00400000000002</v>
      </c>
      <c r="C4">
        <v>628.26300000000003</v>
      </c>
      <c r="D4">
        <v>27.995000000000001</v>
      </c>
      <c r="E4">
        <v>30.949000000000002</v>
      </c>
      <c r="F4">
        <v>40.344999999999999</v>
      </c>
      <c r="G4" t="s">
        <v>36</v>
      </c>
    </row>
    <row r="5" spans="1:7" x14ac:dyDescent="0.15">
      <c r="A5" t="s">
        <v>39</v>
      </c>
      <c r="B5">
        <v>3481.1869999999999</v>
      </c>
      <c r="C5">
        <v>1738.5029999999999</v>
      </c>
      <c r="D5">
        <v>22.087</v>
      </c>
      <c r="E5">
        <v>34.124000000000002</v>
      </c>
      <c r="F5">
        <v>43.786000000000001</v>
      </c>
      <c r="G5" t="s">
        <v>36</v>
      </c>
    </row>
    <row r="6" spans="1:7" x14ac:dyDescent="0.15">
      <c r="A6" t="s">
        <v>40</v>
      </c>
      <c r="B6">
        <v>7116.1350000000002</v>
      </c>
      <c r="C6">
        <v>2678.0990000000002</v>
      </c>
      <c r="D6">
        <v>29.065999999999999</v>
      </c>
      <c r="E6">
        <v>38.901000000000003</v>
      </c>
      <c r="F6">
        <v>48.173000000000002</v>
      </c>
      <c r="G6" t="s">
        <v>36</v>
      </c>
    </row>
    <row r="7" spans="1:7" x14ac:dyDescent="0.15">
      <c r="A7" t="s">
        <v>41</v>
      </c>
      <c r="B7">
        <v>573.87099999999998</v>
      </c>
      <c r="C7">
        <v>702.04600000000005</v>
      </c>
      <c r="D7">
        <v>17.771999999999998</v>
      </c>
      <c r="E7">
        <v>30.369</v>
      </c>
      <c r="F7">
        <v>44.331000000000003</v>
      </c>
      <c r="G7" t="s">
        <v>36</v>
      </c>
    </row>
    <row r="8" spans="1:7" x14ac:dyDescent="0.15">
      <c r="A8" t="s">
        <v>42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 t="s">
        <v>36</v>
      </c>
    </row>
    <row r="9" spans="1:7" x14ac:dyDescent="0.15">
      <c r="A9" t="s">
        <v>43</v>
      </c>
      <c r="B9">
        <v>7380.6080000000002</v>
      </c>
      <c r="C9">
        <v>2568.0859999999998</v>
      </c>
      <c r="D9">
        <v>28.574999999999999</v>
      </c>
      <c r="E9">
        <v>38.997999999999998</v>
      </c>
      <c r="F9">
        <v>49.255000000000003</v>
      </c>
      <c r="G9" t="s">
        <v>36</v>
      </c>
    </row>
    <row r="10" spans="1:7" x14ac:dyDescent="0.15">
      <c r="A10" t="s">
        <v>44</v>
      </c>
      <c r="B10">
        <v>1646.374</v>
      </c>
      <c r="C10">
        <v>1152.5630000000001</v>
      </c>
      <c r="D10">
        <v>19.783000000000001</v>
      </c>
      <c r="E10">
        <v>33.619999999999997</v>
      </c>
      <c r="F10">
        <v>43.195</v>
      </c>
      <c r="G10" t="s">
        <v>36</v>
      </c>
    </row>
    <row r="11" spans="1:7" x14ac:dyDescent="0.15">
      <c r="A11" t="s">
        <v>45</v>
      </c>
      <c r="B11">
        <v>2574.4769999999999</v>
      </c>
      <c r="C11">
        <v>1456.4449999999999</v>
      </c>
      <c r="D11">
        <v>39.686999999999998</v>
      </c>
      <c r="E11">
        <v>28.396999999999998</v>
      </c>
      <c r="F11">
        <v>38.545999999999999</v>
      </c>
      <c r="G11" t="s">
        <v>36</v>
      </c>
    </row>
    <row r="12" spans="1:7" x14ac:dyDescent="0.15">
      <c r="A12" t="s">
        <v>46</v>
      </c>
      <c r="B12">
        <v>8138.8149999999996</v>
      </c>
      <c r="C12">
        <v>2716.1759999999999</v>
      </c>
      <c r="D12">
        <v>43.423999999999999</v>
      </c>
      <c r="E12">
        <v>36.44</v>
      </c>
      <c r="F12">
        <v>42.268000000000001</v>
      </c>
      <c r="G12" t="s">
        <v>36</v>
      </c>
    </row>
    <row r="13" spans="1:7" x14ac:dyDescent="0.15">
      <c r="A13" t="s">
        <v>47</v>
      </c>
      <c r="B13">
        <v>1270.671</v>
      </c>
      <c r="C13">
        <v>1029.4190000000001</v>
      </c>
      <c r="D13">
        <v>39.933</v>
      </c>
      <c r="E13">
        <v>28.62</v>
      </c>
      <c r="F13">
        <v>37.393000000000001</v>
      </c>
      <c r="G13" t="s">
        <v>36</v>
      </c>
    </row>
    <row r="14" spans="1:7" x14ac:dyDescent="0.15">
      <c r="A14" t="s">
        <v>48</v>
      </c>
      <c r="B14">
        <v>2525.1779999999999</v>
      </c>
      <c r="C14">
        <v>1439.069</v>
      </c>
      <c r="D14">
        <v>53.722999999999999</v>
      </c>
      <c r="E14">
        <v>9.8569999999999993</v>
      </c>
      <c r="F14">
        <v>11.586</v>
      </c>
      <c r="G14" t="s">
        <v>36</v>
      </c>
    </row>
    <row r="15" spans="1:7" x14ac:dyDescent="0.15">
      <c r="A15" t="s">
        <v>49</v>
      </c>
      <c r="B15">
        <v>7462.067</v>
      </c>
      <c r="C15">
        <v>2636.6849999999999</v>
      </c>
      <c r="D15">
        <v>54.767000000000003</v>
      </c>
      <c r="E15">
        <v>16.995999999999999</v>
      </c>
      <c r="F15">
        <v>18.998000000000001</v>
      </c>
      <c r="G15" t="s">
        <v>36</v>
      </c>
    </row>
    <row r="16" spans="1:7" x14ac:dyDescent="0.15">
      <c r="A16" t="s">
        <v>50</v>
      </c>
      <c r="B16">
        <v>1303.4590000000001</v>
      </c>
      <c r="C16">
        <v>1009.831</v>
      </c>
      <c r="D16">
        <v>52.655000000000001</v>
      </c>
      <c r="E16">
        <v>9.0779999999999994</v>
      </c>
      <c r="F16">
        <v>11.824999999999999</v>
      </c>
      <c r="G16" t="s">
        <v>36</v>
      </c>
    </row>
    <row r="17" spans="1:7" x14ac:dyDescent="0.15">
      <c r="A17" t="s">
        <v>51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 t="s">
        <v>36</v>
      </c>
    </row>
    <row r="18" spans="1:7" x14ac:dyDescent="0.15">
      <c r="A18" t="s">
        <v>52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 t="s">
        <v>36</v>
      </c>
    </row>
    <row r="19" spans="1:7" x14ac:dyDescent="0.15">
      <c r="A19" t="s">
        <v>53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 t="s">
        <v>36</v>
      </c>
    </row>
    <row r="20" spans="1:7" x14ac:dyDescent="0.15">
      <c r="A20" t="s">
        <v>54</v>
      </c>
      <c r="B20">
        <v>3804.1930000000002</v>
      </c>
      <c r="C20">
        <v>2016.6790000000001</v>
      </c>
      <c r="D20">
        <v>45.076000000000001</v>
      </c>
      <c r="E20">
        <v>31.923999999999999</v>
      </c>
      <c r="F20">
        <v>39.328000000000003</v>
      </c>
      <c r="G20" t="s">
        <v>36</v>
      </c>
    </row>
    <row r="21" spans="1:7" x14ac:dyDescent="0.15">
      <c r="A21" t="s">
        <v>55</v>
      </c>
      <c r="B21">
        <v>8903.2489999999998</v>
      </c>
      <c r="C21">
        <v>3241.1109999999999</v>
      </c>
      <c r="D21">
        <v>45.762999999999998</v>
      </c>
      <c r="E21">
        <v>33.128999999999998</v>
      </c>
      <c r="F21">
        <v>43.893999999999998</v>
      </c>
      <c r="G21" t="s">
        <v>36</v>
      </c>
    </row>
    <row r="22" spans="1:7" x14ac:dyDescent="0.15">
      <c r="A22" t="s">
        <v>56</v>
      </c>
      <c r="B22">
        <v>1565.0440000000001</v>
      </c>
      <c r="C22">
        <v>1390.5239999999999</v>
      </c>
      <c r="D22">
        <v>40.591000000000001</v>
      </c>
      <c r="E22">
        <v>27.824000000000002</v>
      </c>
      <c r="F22">
        <v>38.011000000000003</v>
      </c>
      <c r="G22" t="s">
        <v>36</v>
      </c>
    </row>
    <row r="23" spans="1:7" x14ac:dyDescent="0.15">
      <c r="A23" t="s">
        <v>57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 t="s">
        <v>36</v>
      </c>
    </row>
    <row r="24" spans="1:7" x14ac:dyDescent="0.15">
      <c r="A24" t="s">
        <v>58</v>
      </c>
      <c r="B24">
        <v>8158.7520000000004</v>
      </c>
      <c r="C24">
        <v>2937.3519999999999</v>
      </c>
      <c r="D24">
        <v>57.872999999999998</v>
      </c>
      <c r="E24">
        <v>24.867999999999999</v>
      </c>
      <c r="F24">
        <v>30.032</v>
      </c>
      <c r="G24" t="s">
        <v>36</v>
      </c>
    </row>
    <row r="25" spans="1:7" x14ac:dyDescent="0.15">
      <c r="A25" t="s">
        <v>59</v>
      </c>
      <c r="B25">
        <v>3399.9259999999999</v>
      </c>
      <c r="C25">
        <v>1937.6859999999999</v>
      </c>
      <c r="D25">
        <v>55.438000000000002</v>
      </c>
      <c r="E25">
        <v>18.920999999999999</v>
      </c>
      <c r="F25">
        <v>22.55</v>
      </c>
      <c r="G25" t="s">
        <v>36</v>
      </c>
    </row>
    <row r="26" spans="1:7" x14ac:dyDescent="0.15">
      <c r="A26" t="s">
        <v>60</v>
      </c>
      <c r="B26">
        <v>2946.6190000000001</v>
      </c>
      <c r="C26">
        <v>1771.2850000000001</v>
      </c>
      <c r="D26">
        <v>26.081</v>
      </c>
      <c r="E26">
        <v>33.719000000000001</v>
      </c>
      <c r="F26">
        <v>46.243000000000002</v>
      </c>
      <c r="G26" t="s">
        <v>36</v>
      </c>
    </row>
    <row r="27" spans="1:7" x14ac:dyDescent="0.15">
      <c r="A27" t="s">
        <v>61</v>
      </c>
      <c r="B27">
        <v>7851.1760000000004</v>
      </c>
      <c r="C27">
        <v>2818.4630000000002</v>
      </c>
      <c r="D27">
        <v>30.899000000000001</v>
      </c>
      <c r="E27">
        <v>38.984000000000002</v>
      </c>
      <c r="F27">
        <v>51.932000000000002</v>
      </c>
      <c r="G27" t="s">
        <v>36</v>
      </c>
    </row>
    <row r="28" spans="1:7" x14ac:dyDescent="0.15">
      <c r="A28" t="s">
        <v>62</v>
      </c>
      <c r="B28">
        <v>916.44500000000005</v>
      </c>
      <c r="C28">
        <v>942.8</v>
      </c>
      <c r="D28">
        <v>26.024999999999999</v>
      </c>
      <c r="E28">
        <v>32.177</v>
      </c>
      <c r="F28">
        <v>42.289000000000001</v>
      </c>
      <c r="G28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7760-E021-43EA-AB84-65E25210A935}">
  <dimension ref="A1:G55"/>
  <sheetViews>
    <sheetView workbookViewId="0"/>
  </sheetViews>
  <sheetFormatPr baseColWidth="10" defaultColWidth="8.6640625" defaultRowHeight="14" x14ac:dyDescent="0.15"/>
  <cols>
    <col min="1" max="2" width="15.6640625" bestFit="1" customWidth="1"/>
    <col min="3" max="3" width="20.5" bestFit="1" customWidth="1"/>
    <col min="4" max="4" width="14.1640625" bestFit="1" customWidth="1"/>
    <col min="5" max="5" width="13" bestFit="1" customWidth="1"/>
    <col min="6" max="6" width="13.6640625" bestFit="1" customWidth="1"/>
    <col min="7" max="7" width="10.1640625" bestFit="1" customWidth="1"/>
  </cols>
  <sheetData>
    <row r="1" spans="1:7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15">
      <c r="A2" t="s">
        <v>65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 t="s">
        <v>36</v>
      </c>
    </row>
    <row r="3" spans="1:7" x14ac:dyDescent="0.15">
      <c r="A3" t="s">
        <v>66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 t="s">
        <v>36</v>
      </c>
    </row>
    <row r="4" spans="1:7" x14ac:dyDescent="0.15">
      <c r="A4" t="s">
        <v>67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 t="s">
        <v>36</v>
      </c>
    </row>
    <row r="5" spans="1:7" x14ac:dyDescent="0.15">
      <c r="A5" t="s">
        <v>68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 t="s">
        <v>36</v>
      </c>
    </row>
    <row r="6" spans="1:7" x14ac:dyDescent="0.15">
      <c r="A6" t="s">
        <v>69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 t="s">
        <v>36</v>
      </c>
    </row>
    <row r="7" spans="1:7" x14ac:dyDescent="0.15">
      <c r="A7" t="s">
        <v>70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 t="s">
        <v>36</v>
      </c>
    </row>
    <row r="8" spans="1:7" x14ac:dyDescent="0.15">
      <c r="A8" t="s">
        <v>71</v>
      </c>
      <c r="B8">
        <v>20368.356</v>
      </c>
      <c r="C8">
        <v>7740.3370000000004</v>
      </c>
      <c r="D8">
        <v>63.171999999999997</v>
      </c>
      <c r="E8">
        <v>41.298999999999999</v>
      </c>
      <c r="F8">
        <v>45.98</v>
      </c>
      <c r="G8" t="s">
        <v>36</v>
      </c>
    </row>
    <row r="9" spans="1:7" x14ac:dyDescent="0.15">
      <c r="A9" t="s">
        <v>72</v>
      </c>
      <c r="B9">
        <v>14905.328</v>
      </c>
      <c r="C9">
        <v>7579.4620000000004</v>
      </c>
      <c r="D9">
        <v>54.369</v>
      </c>
      <c r="E9">
        <v>44.868000000000002</v>
      </c>
      <c r="F9">
        <v>53.331000000000003</v>
      </c>
      <c r="G9" t="s">
        <v>36</v>
      </c>
    </row>
    <row r="10" spans="1:7" x14ac:dyDescent="0.15">
      <c r="A10" t="s">
        <v>73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 t="s">
        <v>36</v>
      </c>
    </row>
    <row r="11" spans="1:7" x14ac:dyDescent="0.15">
      <c r="A11" t="s">
        <v>74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 t="s">
        <v>36</v>
      </c>
    </row>
    <row r="12" spans="1:7" x14ac:dyDescent="0.15">
      <c r="A12" t="s">
        <v>75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 t="s">
        <v>36</v>
      </c>
    </row>
    <row r="13" spans="1:7" x14ac:dyDescent="0.15">
      <c r="A13" t="s">
        <v>76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 t="s">
        <v>36</v>
      </c>
    </row>
    <row r="14" spans="1:7" x14ac:dyDescent="0.15">
      <c r="A14" t="s">
        <v>77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 t="s">
        <v>36</v>
      </c>
    </row>
    <row r="15" spans="1:7" x14ac:dyDescent="0.15">
      <c r="A15" t="s">
        <v>78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 t="s">
        <v>36</v>
      </c>
    </row>
    <row r="16" spans="1:7" x14ac:dyDescent="0.15">
      <c r="A16" t="s">
        <v>79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 t="s">
        <v>36</v>
      </c>
    </row>
    <row r="17" spans="1:7" x14ac:dyDescent="0.15">
      <c r="A17" t="s">
        <v>80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 t="s">
        <v>36</v>
      </c>
    </row>
    <row r="18" spans="1:7" x14ac:dyDescent="0.15">
      <c r="A18" t="s">
        <v>81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 t="s">
        <v>36</v>
      </c>
    </row>
    <row r="19" spans="1:7" x14ac:dyDescent="0.15">
      <c r="A19" t="s">
        <v>82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 t="s">
        <v>36</v>
      </c>
    </row>
    <row r="20" spans="1:7" x14ac:dyDescent="0.15">
      <c r="A20" t="s">
        <v>83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 t="s">
        <v>36</v>
      </c>
    </row>
    <row r="21" spans="1:7" x14ac:dyDescent="0.15">
      <c r="A21" t="s">
        <v>84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 t="s">
        <v>36</v>
      </c>
    </row>
    <row r="22" spans="1:7" x14ac:dyDescent="0.15">
      <c r="A22" t="s">
        <v>85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 t="s">
        <v>36</v>
      </c>
    </row>
    <row r="23" spans="1:7" x14ac:dyDescent="0.15">
      <c r="A23" t="s">
        <v>86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 t="s">
        <v>36</v>
      </c>
    </row>
    <row r="24" spans="1:7" x14ac:dyDescent="0.15">
      <c r="A24" t="s">
        <v>87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 t="s">
        <v>36</v>
      </c>
    </row>
    <row r="25" spans="1:7" x14ac:dyDescent="0.15">
      <c r="A25" t="s">
        <v>88</v>
      </c>
      <c r="B25">
        <v>18427.883000000002</v>
      </c>
      <c r="C25">
        <v>9719.9529999999995</v>
      </c>
      <c r="D25">
        <v>63.265000000000001</v>
      </c>
      <c r="E25">
        <v>51.192999999999998</v>
      </c>
      <c r="F25">
        <v>68.623000000000005</v>
      </c>
      <c r="G25" t="s">
        <v>36</v>
      </c>
    </row>
    <row r="26" spans="1:7" x14ac:dyDescent="0.15">
      <c r="A26" t="s">
        <v>89</v>
      </c>
      <c r="B26">
        <v>12618.278</v>
      </c>
      <c r="C26">
        <v>8698.8770000000004</v>
      </c>
      <c r="D26">
        <v>67.790000000000006</v>
      </c>
      <c r="E26">
        <v>41.386000000000003</v>
      </c>
      <c r="F26">
        <v>52.823</v>
      </c>
      <c r="G26" t="s">
        <v>36</v>
      </c>
    </row>
    <row r="27" spans="1:7" x14ac:dyDescent="0.15">
      <c r="A27" t="s">
        <v>90</v>
      </c>
      <c r="B27">
        <v>29033.727999999999</v>
      </c>
      <c r="C27">
        <v>11385.701999999999</v>
      </c>
      <c r="D27">
        <v>58.994</v>
      </c>
      <c r="E27">
        <v>59.843000000000004</v>
      </c>
      <c r="F27">
        <v>51.094999999999999</v>
      </c>
      <c r="G27" t="s">
        <v>36</v>
      </c>
    </row>
    <row r="28" spans="1:7" x14ac:dyDescent="0.15">
      <c r="A28" t="s">
        <v>91</v>
      </c>
      <c r="B28">
        <v>35526.703000000001</v>
      </c>
      <c r="C28">
        <v>20535.294000000002</v>
      </c>
      <c r="D28">
        <v>99.978999999999999</v>
      </c>
      <c r="E28">
        <v>59.854999999999997</v>
      </c>
      <c r="F28">
        <v>85.697000000000003</v>
      </c>
      <c r="G28" t="s">
        <v>36</v>
      </c>
    </row>
    <row r="29" spans="1:7" x14ac:dyDescent="0.15">
      <c r="A29" t="s">
        <v>92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 t="s">
        <v>36</v>
      </c>
    </row>
    <row r="30" spans="1:7" x14ac:dyDescent="0.15">
      <c r="A30" t="s">
        <v>93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 t="s">
        <v>36</v>
      </c>
    </row>
    <row r="31" spans="1:7" x14ac:dyDescent="0.15">
      <c r="A31" t="s">
        <v>94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 t="s">
        <v>36</v>
      </c>
    </row>
    <row r="32" spans="1:7" x14ac:dyDescent="0.15">
      <c r="A32" t="s">
        <v>95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 t="s">
        <v>36</v>
      </c>
    </row>
    <row r="33" spans="1:7" x14ac:dyDescent="0.15">
      <c r="A33" t="s">
        <v>96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 t="s">
        <v>36</v>
      </c>
    </row>
    <row r="34" spans="1:7" x14ac:dyDescent="0.15">
      <c r="A34" t="s">
        <v>97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 t="s">
        <v>36</v>
      </c>
    </row>
    <row r="35" spans="1:7" x14ac:dyDescent="0.15">
      <c r="A35" t="s">
        <v>98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 t="s">
        <v>36</v>
      </c>
    </row>
    <row r="36" spans="1:7" x14ac:dyDescent="0.15">
      <c r="A36" t="s">
        <v>99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 t="s">
        <v>36</v>
      </c>
    </row>
    <row r="37" spans="1:7" x14ac:dyDescent="0.15">
      <c r="A37" t="s">
        <v>100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 t="s">
        <v>36</v>
      </c>
    </row>
    <row r="38" spans="1:7" x14ac:dyDescent="0.15">
      <c r="A38" t="s">
        <v>101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 t="s">
        <v>36</v>
      </c>
    </row>
    <row r="39" spans="1:7" x14ac:dyDescent="0.15">
      <c r="A39" t="s">
        <v>102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 t="s">
        <v>36</v>
      </c>
    </row>
    <row r="40" spans="1:7" x14ac:dyDescent="0.15">
      <c r="A40" t="s">
        <v>103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 t="s">
        <v>36</v>
      </c>
    </row>
    <row r="41" spans="1:7" x14ac:dyDescent="0.15">
      <c r="A41" t="s">
        <v>104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 t="s">
        <v>36</v>
      </c>
    </row>
    <row r="42" spans="1:7" x14ac:dyDescent="0.15">
      <c r="A42" t="s">
        <v>105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 t="s">
        <v>36</v>
      </c>
    </row>
    <row r="43" spans="1:7" x14ac:dyDescent="0.15">
      <c r="A43" t="s">
        <v>106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 t="s">
        <v>36</v>
      </c>
    </row>
    <row r="44" spans="1:7" x14ac:dyDescent="0.15">
      <c r="A44" t="s">
        <v>107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 t="s">
        <v>36</v>
      </c>
    </row>
    <row r="45" spans="1:7" x14ac:dyDescent="0.15">
      <c r="A45" t="s">
        <v>108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 t="s">
        <v>36</v>
      </c>
    </row>
    <row r="46" spans="1:7" x14ac:dyDescent="0.15">
      <c r="A46" t="s">
        <v>109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 t="s">
        <v>36</v>
      </c>
    </row>
    <row r="47" spans="1:7" x14ac:dyDescent="0.15">
      <c r="A47" t="s">
        <v>110</v>
      </c>
      <c r="B47">
        <v>45086.351000000002</v>
      </c>
      <c r="C47">
        <v>14015.377</v>
      </c>
      <c r="D47">
        <v>72.942999999999998</v>
      </c>
      <c r="E47">
        <v>61.892000000000003</v>
      </c>
      <c r="F47">
        <v>59.542000000000002</v>
      </c>
      <c r="G47" t="s">
        <v>36</v>
      </c>
    </row>
    <row r="48" spans="1:7" x14ac:dyDescent="0.15">
      <c r="A48" t="s">
        <v>111</v>
      </c>
      <c r="B48">
        <v>43618.112000000001</v>
      </c>
      <c r="C48">
        <v>13873.928</v>
      </c>
      <c r="D48">
        <v>73.48</v>
      </c>
      <c r="E48">
        <v>62.459000000000003</v>
      </c>
      <c r="F48">
        <v>65.820999999999998</v>
      </c>
      <c r="G48" t="s">
        <v>36</v>
      </c>
    </row>
    <row r="49" spans="1:7" x14ac:dyDescent="0.15">
      <c r="A49" t="s">
        <v>112</v>
      </c>
      <c r="B49">
        <v>13114.105</v>
      </c>
      <c r="C49">
        <v>10149.223</v>
      </c>
      <c r="D49">
        <v>70.534000000000006</v>
      </c>
      <c r="E49">
        <v>43.558</v>
      </c>
      <c r="F49">
        <v>60.793999999999997</v>
      </c>
      <c r="G49" t="s">
        <v>36</v>
      </c>
    </row>
    <row r="50" spans="1:7" x14ac:dyDescent="0.15">
      <c r="A50" t="s">
        <v>113</v>
      </c>
      <c r="B50">
        <v>27397.567999999999</v>
      </c>
      <c r="C50">
        <v>11462.023999999999</v>
      </c>
      <c r="D50">
        <v>78.875</v>
      </c>
      <c r="E50">
        <v>42.622</v>
      </c>
      <c r="F50">
        <v>66.599000000000004</v>
      </c>
      <c r="G50" t="s">
        <v>36</v>
      </c>
    </row>
    <row r="51" spans="1:7" x14ac:dyDescent="0.15">
      <c r="A51" t="s">
        <v>114</v>
      </c>
      <c r="B51">
        <v>53898.63</v>
      </c>
      <c r="C51">
        <v>12917.763999999999</v>
      </c>
      <c r="D51">
        <v>56.401000000000003</v>
      </c>
      <c r="E51">
        <v>48.491</v>
      </c>
      <c r="F51">
        <v>63.201999999999998</v>
      </c>
      <c r="G51" t="s">
        <v>36</v>
      </c>
    </row>
    <row r="52" spans="1:7" x14ac:dyDescent="0.15">
      <c r="A52" t="s">
        <v>115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 t="s">
        <v>36</v>
      </c>
    </row>
    <row r="53" spans="1:7" x14ac:dyDescent="0.15">
      <c r="A53" t="s">
        <v>116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 t="s">
        <v>36</v>
      </c>
    </row>
    <row r="54" spans="1:7" x14ac:dyDescent="0.15">
      <c r="A54" t="s">
        <v>117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 t="s">
        <v>36</v>
      </c>
    </row>
    <row r="55" spans="1:7" x14ac:dyDescent="0.15">
      <c r="A55" t="s">
        <v>118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 t="s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685A-F265-4475-8723-37424D474B99}">
  <dimension ref="A1:H28"/>
  <sheetViews>
    <sheetView topLeftCell="B1" zoomScale="139" workbookViewId="0">
      <selection activeCell="H10" sqref="H2:H10"/>
    </sheetView>
  </sheetViews>
  <sheetFormatPr baseColWidth="10" defaultColWidth="8.6640625" defaultRowHeight="14" x14ac:dyDescent="0.15"/>
  <cols>
    <col min="1" max="1" width="22.1640625" bestFit="1" customWidth="1"/>
    <col min="2" max="2" width="15.5" bestFit="1" customWidth="1"/>
    <col min="3" max="3" width="20.1640625" bestFit="1" customWidth="1"/>
    <col min="4" max="4" width="14.1640625" bestFit="1" customWidth="1"/>
    <col min="5" max="5" width="13" bestFit="1" customWidth="1"/>
    <col min="6" max="6" width="13.6640625" bestFit="1" customWidth="1"/>
    <col min="7" max="7" width="13.6640625" customWidth="1"/>
    <col min="8" max="8" width="15.5" customWidth="1"/>
  </cols>
  <sheetData>
    <row r="1" spans="1:8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119</v>
      </c>
      <c r="H1" t="s">
        <v>120</v>
      </c>
    </row>
    <row r="2" spans="1:8" x14ac:dyDescent="0.15">
      <c r="A2" t="s">
        <v>35</v>
      </c>
      <c r="B2">
        <v>458.00400000000002</v>
      </c>
      <c r="C2">
        <v>628.26300000000003</v>
      </c>
      <c r="D2">
        <v>27.995000000000001</v>
      </c>
      <c r="E2">
        <v>30.949000000000002</v>
      </c>
      <c r="F2">
        <v>40.344999999999999</v>
      </c>
      <c r="G2">
        <v>0.54900000000000004</v>
      </c>
      <c r="H2">
        <f>twig_bulk_density__raw[[#This Row],[Fresh mass (g)]]/((96.97/100)+1)</f>
        <v>0.27872264811900294</v>
      </c>
    </row>
    <row r="3" spans="1:8" x14ac:dyDescent="0.15">
      <c r="A3" t="s">
        <v>37</v>
      </c>
      <c r="B3">
        <v>1922.0440000000001</v>
      </c>
      <c r="C3">
        <v>1199.4449999999999</v>
      </c>
      <c r="D3">
        <v>29.952999999999999</v>
      </c>
      <c r="E3">
        <v>31.533000000000001</v>
      </c>
      <c r="F3">
        <v>40.176000000000002</v>
      </c>
      <c r="G3">
        <v>2.044</v>
      </c>
      <c r="H3">
        <f>twig_bulk_density__raw[[#This Row],[Fresh mass (g)]]/((96.97/100)+1)</f>
        <v>1.0377214804284918</v>
      </c>
    </row>
    <row r="4" spans="1:8" x14ac:dyDescent="0.15">
      <c r="A4" t="s">
        <v>38</v>
      </c>
      <c r="B4">
        <v>8193.8709999999992</v>
      </c>
      <c r="C4">
        <v>2858.9270000000001</v>
      </c>
      <c r="D4">
        <v>36.232999999999997</v>
      </c>
      <c r="E4">
        <v>38.756</v>
      </c>
      <c r="F4">
        <v>49.624000000000002</v>
      </c>
      <c r="G4">
        <v>9.0329999999999995</v>
      </c>
      <c r="H4">
        <f>twig_bulk_density__raw[[#This Row],[Fresh mass (g)]]/((96.97/100)+1)</f>
        <v>4.5859775600345225</v>
      </c>
    </row>
    <row r="5" spans="1:8" x14ac:dyDescent="0.15">
      <c r="A5" t="s">
        <v>39</v>
      </c>
      <c r="B5">
        <v>573.87099999999998</v>
      </c>
      <c r="C5">
        <v>702.04600000000005</v>
      </c>
      <c r="D5">
        <v>17.771999999999998</v>
      </c>
      <c r="E5">
        <v>30.369</v>
      </c>
      <c r="F5">
        <v>44.331000000000003</v>
      </c>
      <c r="G5">
        <v>0.65600000000000003</v>
      </c>
      <c r="H5">
        <f>twig_bulk_density__raw[[#This Row],[Fresh mass (g)]]/((96.97/100)+1)</f>
        <v>0.33304564146824389</v>
      </c>
    </row>
    <row r="6" spans="1:8" x14ac:dyDescent="0.15">
      <c r="A6" t="s">
        <v>40</v>
      </c>
      <c r="B6">
        <v>3481.1869999999999</v>
      </c>
      <c r="C6">
        <v>1738.5029999999999</v>
      </c>
      <c r="D6">
        <v>22.087</v>
      </c>
      <c r="E6">
        <v>34.124000000000002</v>
      </c>
      <c r="F6">
        <v>43.786000000000001</v>
      </c>
      <c r="G6">
        <v>3.7189999999999999</v>
      </c>
      <c r="H6">
        <f>twig_bulk_density__raw[[#This Row],[Fresh mass (g)]]/((96.97/100)+1)</f>
        <v>1.8881047875310961</v>
      </c>
    </row>
    <row r="7" spans="1:8" x14ac:dyDescent="0.15">
      <c r="A7" t="s">
        <v>41</v>
      </c>
      <c r="B7">
        <v>7116.1350000000002</v>
      </c>
      <c r="C7">
        <v>2678.0990000000002</v>
      </c>
      <c r="D7">
        <v>29.065999999999999</v>
      </c>
      <c r="E7">
        <v>38.901000000000003</v>
      </c>
      <c r="F7">
        <v>48.173000000000002</v>
      </c>
      <c r="G7">
        <v>8.2769999999999992</v>
      </c>
      <c r="H7">
        <f>twig_bulk_density__raw[[#This Row],[Fresh mass (g)]]/((96.97/100)+1)</f>
        <v>4.2021627659034371</v>
      </c>
    </row>
    <row r="8" spans="1:8" x14ac:dyDescent="0.15">
      <c r="A8" t="s">
        <v>42</v>
      </c>
      <c r="B8">
        <v>711.40700000000004</v>
      </c>
      <c r="C8">
        <v>755.75199999999995</v>
      </c>
      <c r="D8">
        <v>17.972000000000001</v>
      </c>
      <c r="E8">
        <v>35.646999999999998</v>
      </c>
      <c r="F8">
        <v>39.094000000000001</v>
      </c>
      <c r="G8">
        <v>0.73299999999999998</v>
      </c>
      <c r="H8">
        <f>twig_bulk_density__raw[[#This Row],[Fresh mass (g)]]/((96.97/100)+1)</f>
        <v>0.37213788901863226</v>
      </c>
    </row>
    <row r="9" spans="1:8" x14ac:dyDescent="0.15">
      <c r="A9" t="s">
        <v>43</v>
      </c>
      <c r="B9">
        <v>1646.374</v>
      </c>
      <c r="C9">
        <v>1152.5630000000001</v>
      </c>
      <c r="D9">
        <v>19.783000000000001</v>
      </c>
      <c r="E9">
        <v>33.619999999999997</v>
      </c>
      <c r="F9">
        <v>43.195</v>
      </c>
      <c r="G9">
        <v>1.7689999999999999</v>
      </c>
      <c r="H9">
        <f>twig_bulk_density__raw[[#This Row],[Fresh mass (g)]]/((96.97/100)+1)</f>
        <v>0.89810631060567592</v>
      </c>
    </row>
    <row r="10" spans="1:8" x14ac:dyDescent="0.15">
      <c r="A10" t="s">
        <v>44</v>
      </c>
      <c r="B10">
        <v>7380.6080000000002</v>
      </c>
      <c r="C10">
        <v>2568.0859999999998</v>
      </c>
      <c r="D10">
        <v>28.574999999999999</v>
      </c>
      <c r="E10">
        <v>38.997999999999998</v>
      </c>
      <c r="F10">
        <v>49.255000000000003</v>
      </c>
      <c r="G10">
        <v>8.2729999999999997</v>
      </c>
      <c r="H10">
        <f>twig_bulk_density__raw[[#This Row],[Fresh mass (g)]]/((96.97/100)+1)</f>
        <v>4.2001319997969233</v>
      </c>
    </row>
    <row r="11" spans="1:8" x14ac:dyDescent="0.15">
      <c r="A11" t="s">
        <v>45</v>
      </c>
      <c r="B11">
        <v>1270.671</v>
      </c>
      <c r="C11">
        <v>1029.4190000000001</v>
      </c>
      <c r="D11">
        <v>39.933</v>
      </c>
      <c r="E11">
        <v>28.62</v>
      </c>
      <c r="F11">
        <v>37.393000000000001</v>
      </c>
      <c r="G11">
        <v>1.258</v>
      </c>
      <c r="H11">
        <f>twig_bulk_density__raw[[#This Row],[Fresh mass (g)]]/((93/100)+1)</f>
        <v>0.65181347150259061</v>
      </c>
    </row>
    <row r="12" spans="1:8" x14ac:dyDescent="0.15">
      <c r="A12" t="s">
        <v>46</v>
      </c>
      <c r="B12">
        <v>2574.4769999999999</v>
      </c>
      <c r="C12">
        <v>1456.4449999999999</v>
      </c>
      <c r="D12">
        <v>39.686999999999998</v>
      </c>
      <c r="E12">
        <v>28.396999999999998</v>
      </c>
      <c r="F12">
        <v>38.545999999999999</v>
      </c>
      <c r="G12">
        <v>2.91</v>
      </c>
      <c r="H12">
        <f>twig_bulk_density__raw[[#This Row],[Fresh mass (g)]]/((93/100)+1)</f>
        <v>1.5077720207253886</v>
      </c>
    </row>
    <row r="13" spans="1:8" x14ac:dyDescent="0.15">
      <c r="A13" t="s">
        <v>47</v>
      </c>
      <c r="B13">
        <v>8138.8149999999996</v>
      </c>
      <c r="C13">
        <v>2716.1759999999999</v>
      </c>
      <c r="D13">
        <v>43.423999999999999</v>
      </c>
      <c r="E13">
        <v>36.44</v>
      </c>
      <c r="F13">
        <v>42.268000000000001</v>
      </c>
      <c r="G13">
        <v>8.1590000000000007</v>
      </c>
      <c r="H13">
        <f>twig_bulk_density__raw[[#This Row],[Fresh mass (g)]]/((93/100)+1)</f>
        <v>4.2274611398963735</v>
      </c>
    </row>
    <row r="14" spans="1:8" x14ac:dyDescent="0.15">
      <c r="A14" t="s">
        <v>48</v>
      </c>
      <c r="B14">
        <v>1303.4590000000001</v>
      </c>
      <c r="C14">
        <v>1009.831</v>
      </c>
      <c r="D14">
        <v>52.655000000000001</v>
      </c>
      <c r="E14">
        <v>9.0779999999999994</v>
      </c>
      <c r="F14">
        <v>11.824999999999999</v>
      </c>
      <c r="G14">
        <v>1.3939999999999999</v>
      </c>
      <c r="H14">
        <f>twig_bulk_density__raw[[#This Row],[Fresh mass (g)]]/((93/100)+1)</f>
        <v>0.72227979274611387</v>
      </c>
    </row>
    <row r="15" spans="1:8" x14ac:dyDescent="0.15">
      <c r="A15" t="s">
        <v>49</v>
      </c>
      <c r="B15">
        <v>2525.1779999999999</v>
      </c>
      <c r="C15">
        <v>1439.069</v>
      </c>
      <c r="D15">
        <v>53.722999999999999</v>
      </c>
      <c r="E15">
        <v>9.8569999999999993</v>
      </c>
      <c r="F15">
        <v>11.586</v>
      </c>
      <c r="G15">
        <v>2.84</v>
      </c>
      <c r="H15">
        <f>twig_bulk_density__raw[[#This Row],[Fresh mass (g)]]/((93/100)+1)</f>
        <v>1.471502590673575</v>
      </c>
    </row>
    <row r="16" spans="1:8" x14ac:dyDescent="0.15">
      <c r="A16" t="s">
        <v>50</v>
      </c>
      <c r="B16">
        <v>7462.067</v>
      </c>
      <c r="C16">
        <v>2636.6849999999999</v>
      </c>
      <c r="D16">
        <v>54.767000000000003</v>
      </c>
      <c r="E16">
        <v>16.995999999999999</v>
      </c>
      <c r="F16">
        <v>18.998000000000001</v>
      </c>
      <c r="G16">
        <v>8.0739999999999998</v>
      </c>
      <c r="H16">
        <f>twig_bulk_density__raw[[#This Row],[Fresh mass (g)]]/((93/100)+1)</f>
        <v>4.1834196891191704</v>
      </c>
    </row>
    <row r="17" spans="1:8" x14ac:dyDescent="0.15">
      <c r="A17" t="s">
        <v>51</v>
      </c>
      <c r="B17">
        <v>632.00199999999995</v>
      </c>
      <c r="C17">
        <v>687.07</v>
      </c>
      <c r="D17">
        <v>21.151</v>
      </c>
      <c r="E17">
        <v>29.58</v>
      </c>
      <c r="F17">
        <v>40.411000000000001</v>
      </c>
      <c r="G17">
        <v>0.71699999999999997</v>
      </c>
      <c r="H17">
        <f>twig_bulk_density__raw[[#This Row],[Fresh mass (g)]]/((93/100)+1)</f>
        <v>0.37150259067357511</v>
      </c>
    </row>
    <row r="18" spans="1:8" x14ac:dyDescent="0.15">
      <c r="A18" t="s">
        <v>52</v>
      </c>
      <c r="B18">
        <v>2669.625</v>
      </c>
      <c r="C18">
        <v>1463.0119999999999</v>
      </c>
      <c r="D18">
        <v>27.513000000000002</v>
      </c>
      <c r="E18">
        <v>35.008000000000003</v>
      </c>
      <c r="F18">
        <v>43.77</v>
      </c>
      <c r="G18">
        <v>2.879</v>
      </c>
      <c r="H18">
        <f>twig_bulk_density__raw[[#This Row],[Fresh mass (g)]]/((93/100)+1)</f>
        <v>1.4917098445595853</v>
      </c>
    </row>
    <row r="19" spans="1:8" x14ac:dyDescent="0.15">
      <c r="A19" t="s">
        <v>53</v>
      </c>
      <c r="B19">
        <v>9153.3490000000002</v>
      </c>
      <c r="C19">
        <v>2933.942</v>
      </c>
      <c r="D19">
        <v>35.347999999999999</v>
      </c>
      <c r="E19">
        <v>39.81</v>
      </c>
      <c r="F19">
        <v>49.753</v>
      </c>
      <c r="G19">
        <v>9.7620000000000005</v>
      </c>
      <c r="H19">
        <f>twig_bulk_density__raw[[#This Row],[Fresh mass (g)]]/((93/100)+1)</f>
        <v>5.0580310880829016</v>
      </c>
    </row>
    <row r="20" spans="1:8" x14ac:dyDescent="0.15">
      <c r="A20" t="s">
        <v>54</v>
      </c>
      <c r="B20">
        <v>1565.0440000000001</v>
      </c>
      <c r="C20">
        <v>1390.5239999999999</v>
      </c>
      <c r="D20">
        <v>40.591000000000001</v>
      </c>
      <c r="E20">
        <v>27.824000000000002</v>
      </c>
      <c r="F20">
        <v>38.011000000000003</v>
      </c>
      <c r="G20">
        <v>1.196</v>
      </c>
      <c r="H20">
        <f>twig_bulk_density__raw[[#This Row],[Fresh mass (g)]]/((112/100)+1)</f>
        <v>0.5641509433962264</v>
      </c>
    </row>
    <row r="21" spans="1:8" x14ac:dyDescent="0.15">
      <c r="A21" t="s">
        <v>55</v>
      </c>
      <c r="B21">
        <v>3804.1930000000002</v>
      </c>
      <c r="C21">
        <v>2016.6790000000001</v>
      </c>
      <c r="D21">
        <v>45.076000000000001</v>
      </c>
      <c r="E21">
        <v>31.923999999999999</v>
      </c>
      <c r="F21">
        <v>39.328000000000003</v>
      </c>
      <c r="G21">
        <v>3.3</v>
      </c>
      <c r="H21">
        <f>twig_bulk_density__raw[[#This Row],[Fresh mass (g)]]/((112/100)+1)</f>
        <v>1.5566037735849054</v>
      </c>
    </row>
    <row r="22" spans="1:8" x14ac:dyDescent="0.15">
      <c r="A22" t="s">
        <v>56</v>
      </c>
      <c r="B22">
        <v>8903.2489999999998</v>
      </c>
      <c r="C22">
        <v>3241.1109999999999</v>
      </c>
      <c r="D22">
        <v>45.762999999999998</v>
      </c>
      <c r="E22">
        <v>33.128999999999998</v>
      </c>
      <c r="F22">
        <v>43.893999999999998</v>
      </c>
      <c r="G22">
        <v>8.7680000000000007</v>
      </c>
      <c r="H22">
        <f>twig_bulk_density__raw[[#This Row],[Fresh mass (g)]]/((112/100)+1)</f>
        <v>4.1358490566037736</v>
      </c>
    </row>
    <row r="23" spans="1:8" x14ac:dyDescent="0.15">
      <c r="A23" t="s">
        <v>57</v>
      </c>
      <c r="B23">
        <v>1086.452</v>
      </c>
      <c r="C23">
        <v>1032.201</v>
      </c>
      <c r="D23">
        <v>50.256</v>
      </c>
      <c r="E23">
        <v>16.234999999999999</v>
      </c>
      <c r="F23">
        <v>21.138999999999999</v>
      </c>
      <c r="G23">
        <v>0.96499999999999997</v>
      </c>
      <c r="H23">
        <f>twig_bulk_density__raw[[#This Row],[Fresh mass (g)]]/((112/100)+1)</f>
        <v>0.455188679245283</v>
      </c>
    </row>
    <row r="24" spans="1:8" x14ac:dyDescent="0.15">
      <c r="A24" t="s">
        <v>58</v>
      </c>
      <c r="B24">
        <v>3399.9259999999999</v>
      </c>
      <c r="C24">
        <v>1937.6859999999999</v>
      </c>
      <c r="D24">
        <v>55.438000000000002</v>
      </c>
      <c r="E24">
        <v>18.920999999999999</v>
      </c>
      <c r="F24">
        <v>22.55</v>
      </c>
      <c r="G24">
        <v>2.9729999999999999</v>
      </c>
      <c r="H24">
        <f>twig_bulk_density__raw[[#This Row],[Fresh mass (g)]]/((112/100)+1)</f>
        <v>1.4023584905660376</v>
      </c>
    </row>
    <row r="25" spans="1:8" x14ac:dyDescent="0.15">
      <c r="A25" t="s">
        <v>59</v>
      </c>
      <c r="B25">
        <v>8158.7520000000004</v>
      </c>
      <c r="C25">
        <v>2937.3519999999999</v>
      </c>
      <c r="D25">
        <v>57.872999999999998</v>
      </c>
      <c r="E25">
        <v>24.867999999999999</v>
      </c>
      <c r="F25">
        <v>30.032</v>
      </c>
      <c r="G25">
        <v>7.9939999999999998</v>
      </c>
      <c r="H25">
        <f>twig_bulk_density__raw[[#This Row],[Fresh mass (g)]]/((112/100)+1)</f>
        <v>3.770754716981132</v>
      </c>
    </row>
    <row r="26" spans="1:8" x14ac:dyDescent="0.15">
      <c r="A26" t="s">
        <v>60</v>
      </c>
      <c r="B26">
        <v>916.44500000000005</v>
      </c>
      <c r="C26">
        <v>942.8</v>
      </c>
      <c r="D26">
        <v>26.024999999999999</v>
      </c>
      <c r="E26">
        <v>32.177</v>
      </c>
      <c r="F26">
        <v>42.289000000000001</v>
      </c>
      <c r="G26">
        <v>0.71699999999999997</v>
      </c>
      <c r="H26">
        <f>twig_bulk_density__raw[[#This Row],[Fresh mass (g)]]/((112/100)+1)</f>
        <v>0.33820754716981127</v>
      </c>
    </row>
    <row r="27" spans="1:8" x14ac:dyDescent="0.15">
      <c r="A27" t="s">
        <v>61</v>
      </c>
      <c r="B27">
        <v>2946.6190000000001</v>
      </c>
      <c r="C27">
        <v>1771.2850000000001</v>
      </c>
      <c r="D27">
        <v>26.081</v>
      </c>
      <c r="E27">
        <v>33.719000000000001</v>
      </c>
      <c r="F27">
        <v>46.243000000000002</v>
      </c>
      <c r="G27">
        <v>1.7689999999999999</v>
      </c>
      <c r="H27">
        <f>twig_bulk_density__raw[[#This Row],[Fresh mass (g)]]/((112/100)+1)</f>
        <v>0.8344339622641509</v>
      </c>
    </row>
    <row r="28" spans="1:8" x14ac:dyDescent="0.15">
      <c r="A28" t="s">
        <v>62</v>
      </c>
      <c r="B28">
        <v>7851.1760000000004</v>
      </c>
      <c r="C28">
        <v>2818.4630000000002</v>
      </c>
      <c r="D28">
        <v>30.899000000000001</v>
      </c>
      <c r="E28">
        <v>38.984000000000002</v>
      </c>
      <c r="F28">
        <v>51.932000000000002</v>
      </c>
      <c r="G28">
        <v>8.2729999999999997</v>
      </c>
      <c r="H28">
        <f>twig_bulk_density__raw[[#This Row],[Fresh mass (g)]]/((112/100)+1)</f>
        <v>3.9023584905660376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AE51-1F40-4B18-8456-B58B6287EC40}">
  <dimension ref="A1:H55"/>
  <sheetViews>
    <sheetView zoomScaleNormal="100" workbookViewId="0">
      <selection activeCell="H1" sqref="H1"/>
    </sheetView>
  </sheetViews>
  <sheetFormatPr baseColWidth="10" defaultColWidth="8.6640625" defaultRowHeight="14" x14ac:dyDescent="0.15"/>
  <cols>
    <col min="1" max="1" width="27.5" customWidth="1"/>
    <col min="2" max="2" width="15.5" bestFit="1" customWidth="1"/>
    <col min="3" max="3" width="20.1640625" bestFit="1" customWidth="1"/>
    <col min="4" max="4" width="14.1640625" bestFit="1" customWidth="1"/>
    <col min="5" max="5" width="13" bestFit="1" customWidth="1"/>
    <col min="6" max="6" width="13.6640625" bestFit="1" customWidth="1"/>
    <col min="7" max="7" width="13.6640625" customWidth="1"/>
    <col min="8" max="8" width="13.1640625" customWidth="1"/>
  </cols>
  <sheetData>
    <row r="1" spans="1:8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119</v>
      </c>
      <c r="H1" t="s">
        <v>120</v>
      </c>
    </row>
    <row r="2" spans="1:8" x14ac:dyDescent="0.15">
      <c r="A2" t="s">
        <v>65</v>
      </c>
      <c r="B2">
        <v>12875.998</v>
      </c>
      <c r="C2">
        <v>11059.618</v>
      </c>
      <c r="D2">
        <v>98.826999999999998</v>
      </c>
      <c r="E2">
        <v>53.795999999999999</v>
      </c>
      <c r="F2">
        <v>68.825999999999993</v>
      </c>
      <c r="G2">
        <v>4.2300000000000004</v>
      </c>
      <c r="H2">
        <v>3.47</v>
      </c>
    </row>
    <row r="3" spans="1:8" x14ac:dyDescent="0.15">
      <c r="A3" t="s">
        <v>66</v>
      </c>
      <c r="B3">
        <v>28228.556</v>
      </c>
      <c r="C3">
        <v>11492.536</v>
      </c>
      <c r="D3">
        <v>89.507999999999996</v>
      </c>
      <c r="E3">
        <v>47.179000000000002</v>
      </c>
      <c r="F3">
        <v>54.447000000000003</v>
      </c>
      <c r="G3">
        <v>4.9800000000000004</v>
      </c>
      <c r="H3">
        <v>4.16</v>
      </c>
    </row>
    <row r="4" spans="1:8" x14ac:dyDescent="0.15">
      <c r="A4" t="s">
        <v>67</v>
      </c>
      <c r="B4">
        <v>23400.512999999999</v>
      </c>
      <c r="C4">
        <v>10642.726000000001</v>
      </c>
      <c r="D4">
        <v>60.597000000000001</v>
      </c>
      <c r="E4">
        <v>45.496000000000002</v>
      </c>
      <c r="F4">
        <v>51.432000000000002</v>
      </c>
      <c r="G4">
        <v>4.7699999999999996</v>
      </c>
      <c r="H4">
        <v>3.95</v>
      </c>
    </row>
    <row r="5" spans="1:8" x14ac:dyDescent="0.15">
      <c r="A5" t="s">
        <v>68</v>
      </c>
      <c r="B5">
        <v>10686.29</v>
      </c>
      <c r="C5">
        <v>7744.0209999999997</v>
      </c>
      <c r="D5">
        <v>62.244</v>
      </c>
      <c r="E5">
        <v>36.268000000000001</v>
      </c>
      <c r="F5">
        <v>73.459999999999994</v>
      </c>
      <c r="G5">
        <v>4.28</v>
      </c>
      <c r="H5">
        <v>3.5</v>
      </c>
    </row>
    <row r="6" spans="1:8" x14ac:dyDescent="0.15">
      <c r="A6" t="s">
        <v>69</v>
      </c>
      <c r="B6">
        <v>7628.1570000000002</v>
      </c>
      <c r="C6">
        <v>7166.7309999999998</v>
      </c>
      <c r="D6">
        <v>55.021999999999998</v>
      </c>
      <c r="E6">
        <v>36.590000000000003</v>
      </c>
      <c r="F6">
        <v>47.216999999999999</v>
      </c>
      <c r="G6">
        <v>3.44</v>
      </c>
      <c r="H6">
        <v>3.39</v>
      </c>
    </row>
    <row r="7" spans="1:8" x14ac:dyDescent="0.15">
      <c r="A7" t="s">
        <v>70</v>
      </c>
      <c r="B7">
        <v>5166.9430000000002</v>
      </c>
      <c r="C7">
        <v>7773.5879999999997</v>
      </c>
      <c r="D7">
        <v>66.075000000000003</v>
      </c>
      <c r="E7">
        <v>55.353999999999999</v>
      </c>
      <c r="F7">
        <v>53.749000000000002</v>
      </c>
      <c r="G7">
        <v>4.17</v>
      </c>
      <c r="H7">
        <v>2.75</v>
      </c>
    </row>
    <row r="8" spans="1:8" x14ac:dyDescent="0.15">
      <c r="A8" t="s">
        <v>72</v>
      </c>
      <c r="B8">
        <v>14905.328</v>
      </c>
      <c r="C8">
        <v>7579.4620000000004</v>
      </c>
      <c r="D8">
        <v>54.369</v>
      </c>
      <c r="E8">
        <v>44.868000000000002</v>
      </c>
      <c r="F8">
        <v>53.331000000000003</v>
      </c>
      <c r="G8">
        <v>6.18</v>
      </c>
      <c r="H8" s="1">
        <v>5.24</v>
      </c>
    </row>
    <row r="9" spans="1:8" x14ac:dyDescent="0.15">
      <c r="A9" t="s">
        <v>71</v>
      </c>
      <c r="B9">
        <v>20368.356</v>
      </c>
      <c r="C9">
        <v>7740.3370000000004</v>
      </c>
      <c r="D9">
        <v>63.171999999999997</v>
      </c>
      <c r="E9">
        <v>41.298999999999999</v>
      </c>
      <c r="F9">
        <v>45.98</v>
      </c>
      <c r="G9">
        <v>5.58</v>
      </c>
      <c r="H9" s="2">
        <v>4.79</v>
      </c>
    </row>
    <row r="10" spans="1:8" x14ac:dyDescent="0.15">
      <c r="A10" t="s">
        <v>73</v>
      </c>
      <c r="B10">
        <v>38453.661999999997</v>
      </c>
      <c r="C10">
        <v>10834.923000000001</v>
      </c>
      <c r="D10">
        <v>53.606999999999999</v>
      </c>
      <c r="E10">
        <v>48.875999999999998</v>
      </c>
      <c r="F10">
        <v>59.244999999999997</v>
      </c>
      <c r="G10">
        <v>20.99</v>
      </c>
      <c r="H10" s="1">
        <v>18.603000000000002</v>
      </c>
    </row>
    <row r="11" spans="1:8" x14ac:dyDescent="0.15">
      <c r="A11" t="s">
        <v>74</v>
      </c>
      <c r="B11">
        <v>20589.888999999999</v>
      </c>
      <c r="C11">
        <v>11408.648999999999</v>
      </c>
      <c r="D11">
        <v>58.872</v>
      </c>
      <c r="E11">
        <v>51.912999999999997</v>
      </c>
      <c r="F11">
        <v>58.000999999999998</v>
      </c>
      <c r="G11">
        <v>5.14</v>
      </c>
      <c r="H11" s="2">
        <v>4.3099999999999996</v>
      </c>
    </row>
    <row r="12" spans="1:8" x14ac:dyDescent="0.15">
      <c r="A12" t="s">
        <v>75</v>
      </c>
      <c r="B12">
        <v>4347.4889999999996</v>
      </c>
      <c r="C12">
        <v>4057.46</v>
      </c>
      <c r="D12">
        <v>56.295000000000002</v>
      </c>
      <c r="E12">
        <v>39.972000000000001</v>
      </c>
      <c r="F12">
        <v>45.445</v>
      </c>
      <c r="G12">
        <v>4.05</v>
      </c>
      <c r="H12">
        <v>3.76</v>
      </c>
    </row>
    <row r="13" spans="1:8" x14ac:dyDescent="0.15">
      <c r="A13" t="s">
        <v>76</v>
      </c>
      <c r="B13">
        <v>5745.9570000000003</v>
      </c>
      <c r="C13">
        <v>4926.4489999999996</v>
      </c>
      <c r="D13">
        <v>70.989000000000004</v>
      </c>
      <c r="E13">
        <v>38.869</v>
      </c>
      <c r="F13">
        <v>48.215000000000003</v>
      </c>
      <c r="G13">
        <v>4.4800000000000004</v>
      </c>
      <c r="H13">
        <v>4.1500000000000004</v>
      </c>
    </row>
    <row r="14" spans="1:8" x14ac:dyDescent="0.15">
      <c r="A14" t="s">
        <v>77</v>
      </c>
      <c r="B14">
        <v>13704.144</v>
      </c>
      <c r="C14">
        <v>9155.9709999999995</v>
      </c>
      <c r="D14">
        <v>60.173000000000002</v>
      </c>
      <c r="E14">
        <v>45.613999999999997</v>
      </c>
      <c r="F14">
        <v>50.726999999999997</v>
      </c>
      <c r="G14">
        <v>5.31</v>
      </c>
      <c r="H14">
        <v>4.9000000000000004</v>
      </c>
    </row>
    <row r="15" spans="1:8" x14ac:dyDescent="0.15">
      <c r="A15" t="s">
        <v>78</v>
      </c>
      <c r="B15">
        <v>10831.43</v>
      </c>
      <c r="C15">
        <v>8841.0400000000009</v>
      </c>
      <c r="D15">
        <v>61.473999999999997</v>
      </c>
      <c r="E15">
        <v>39.100999999999999</v>
      </c>
      <c r="F15">
        <v>48.348999999999997</v>
      </c>
      <c r="G15">
        <v>4.28</v>
      </c>
      <c r="H15">
        <v>3.97</v>
      </c>
    </row>
    <row r="16" spans="1:8" x14ac:dyDescent="0.15">
      <c r="A16" t="s">
        <v>79</v>
      </c>
      <c r="B16">
        <v>26884.648000000001</v>
      </c>
      <c r="C16">
        <v>9980.5570000000007</v>
      </c>
      <c r="D16">
        <v>63.917000000000002</v>
      </c>
      <c r="E16">
        <v>39.003999999999998</v>
      </c>
      <c r="F16">
        <v>53.145000000000003</v>
      </c>
      <c r="G16">
        <v>8.1</v>
      </c>
      <c r="H16">
        <v>7.54</v>
      </c>
    </row>
    <row r="17" spans="1:8" x14ac:dyDescent="0.15">
      <c r="A17" t="s">
        <v>80</v>
      </c>
      <c r="B17">
        <v>18615.175999999999</v>
      </c>
      <c r="C17">
        <v>8846.2369999999992</v>
      </c>
      <c r="D17">
        <v>57.77</v>
      </c>
      <c r="E17">
        <v>49.823999999999998</v>
      </c>
      <c r="F17">
        <v>57.6</v>
      </c>
      <c r="G17">
        <v>5.12</v>
      </c>
      <c r="H17">
        <v>4.75</v>
      </c>
    </row>
    <row r="18" spans="1:8" x14ac:dyDescent="0.15">
      <c r="A18" t="s">
        <v>81</v>
      </c>
      <c r="B18">
        <v>13759.232</v>
      </c>
      <c r="C18">
        <v>10618.859</v>
      </c>
      <c r="D18">
        <v>69.926000000000002</v>
      </c>
      <c r="E18">
        <v>45.366</v>
      </c>
      <c r="F18">
        <v>70.704999999999998</v>
      </c>
      <c r="G18">
        <v>5.73</v>
      </c>
      <c r="H18">
        <v>5.35</v>
      </c>
    </row>
    <row r="19" spans="1:8" x14ac:dyDescent="0.15">
      <c r="A19" t="s">
        <v>82</v>
      </c>
      <c r="B19">
        <v>28467.663</v>
      </c>
      <c r="C19">
        <v>15405.55</v>
      </c>
      <c r="D19">
        <v>80.471000000000004</v>
      </c>
      <c r="E19">
        <v>52.41</v>
      </c>
      <c r="F19">
        <v>79.271000000000001</v>
      </c>
      <c r="G19">
        <v>4.0999999999999996</v>
      </c>
      <c r="H19">
        <v>3.67</v>
      </c>
    </row>
    <row r="20" spans="1:8" x14ac:dyDescent="0.15">
      <c r="A20" t="s">
        <v>83</v>
      </c>
      <c r="B20">
        <v>24512.941999999999</v>
      </c>
      <c r="C20">
        <v>10701.415000000001</v>
      </c>
      <c r="D20">
        <v>69.89</v>
      </c>
      <c r="E20">
        <v>63.945</v>
      </c>
      <c r="F20">
        <v>80.775000000000006</v>
      </c>
      <c r="G20">
        <v>2.82</v>
      </c>
      <c r="H20">
        <v>2.56</v>
      </c>
    </row>
    <row r="21" spans="1:8" x14ac:dyDescent="0.15">
      <c r="A21" t="s">
        <v>84</v>
      </c>
      <c r="B21">
        <v>13999.976000000001</v>
      </c>
      <c r="C21">
        <v>7612.3459999999995</v>
      </c>
      <c r="D21">
        <v>72.637</v>
      </c>
      <c r="E21">
        <v>43.055</v>
      </c>
      <c r="F21">
        <v>51.271999999999998</v>
      </c>
      <c r="G21">
        <v>2.63</v>
      </c>
      <c r="H21">
        <v>2.39</v>
      </c>
    </row>
    <row r="22" spans="1:8" x14ac:dyDescent="0.15">
      <c r="A22" t="s">
        <v>85</v>
      </c>
      <c r="B22">
        <v>16668.073</v>
      </c>
      <c r="C22">
        <v>11320.739</v>
      </c>
      <c r="D22">
        <v>68.433999999999997</v>
      </c>
      <c r="E22">
        <v>44.283999999999999</v>
      </c>
      <c r="F22">
        <v>58.792999999999999</v>
      </c>
      <c r="G22">
        <v>2.73</v>
      </c>
      <c r="H22">
        <v>2.44</v>
      </c>
    </row>
    <row r="23" spans="1:8" x14ac:dyDescent="0.15">
      <c r="A23" t="s">
        <v>86</v>
      </c>
      <c r="B23">
        <v>12052.906000000001</v>
      </c>
      <c r="C23">
        <v>8289.5169999999998</v>
      </c>
      <c r="D23">
        <v>64.221999999999994</v>
      </c>
      <c r="E23">
        <v>45.454000000000001</v>
      </c>
      <c r="F23">
        <v>57.075000000000003</v>
      </c>
      <c r="G23">
        <v>2.79</v>
      </c>
      <c r="H23">
        <v>2.5299999999999998</v>
      </c>
    </row>
    <row r="24" spans="1:8" x14ac:dyDescent="0.15">
      <c r="A24" t="s">
        <v>87</v>
      </c>
      <c r="B24">
        <v>9761.5849999999991</v>
      </c>
      <c r="C24">
        <v>9726.1959999999999</v>
      </c>
      <c r="D24">
        <v>72.685000000000002</v>
      </c>
      <c r="E24">
        <v>49.51</v>
      </c>
      <c r="F24">
        <v>72.25</v>
      </c>
      <c r="G24">
        <v>3.12</v>
      </c>
      <c r="H24">
        <v>2.84</v>
      </c>
    </row>
    <row r="25" spans="1:8" x14ac:dyDescent="0.15">
      <c r="A25" t="s">
        <v>91</v>
      </c>
      <c r="B25">
        <v>35526.703000000001</v>
      </c>
      <c r="C25">
        <v>20535.294000000002</v>
      </c>
      <c r="D25">
        <v>99.978999999999999</v>
      </c>
      <c r="E25">
        <v>59.854999999999997</v>
      </c>
      <c r="F25">
        <v>85.697000000000003</v>
      </c>
      <c r="G25">
        <v>6.17</v>
      </c>
      <c r="H25">
        <v>5.72</v>
      </c>
    </row>
    <row r="26" spans="1:8" x14ac:dyDescent="0.15">
      <c r="A26" t="s">
        <v>88</v>
      </c>
      <c r="B26">
        <v>18427.883000000002</v>
      </c>
      <c r="C26">
        <v>9719.9529999999995</v>
      </c>
      <c r="D26">
        <v>63.265000000000001</v>
      </c>
      <c r="E26">
        <v>51.192999999999998</v>
      </c>
      <c r="F26">
        <v>68.623000000000005</v>
      </c>
      <c r="G26">
        <v>2.97</v>
      </c>
      <c r="H26">
        <v>2.7</v>
      </c>
    </row>
    <row r="27" spans="1:8" x14ac:dyDescent="0.15">
      <c r="A27" t="s">
        <v>89</v>
      </c>
      <c r="B27">
        <v>12618.278</v>
      </c>
      <c r="C27">
        <v>8698.8770000000004</v>
      </c>
      <c r="D27">
        <v>67.790000000000006</v>
      </c>
      <c r="E27">
        <v>41.386000000000003</v>
      </c>
      <c r="F27">
        <v>52.823</v>
      </c>
      <c r="G27">
        <v>3.12</v>
      </c>
      <c r="H27">
        <v>2.96</v>
      </c>
    </row>
    <row r="28" spans="1:8" x14ac:dyDescent="0.15">
      <c r="A28" t="s">
        <v>90</v>
      </c>
      <c r="B28">
        <v>29033.727999999999</v>
      </c>
      <c r="C28">
        <v>11385.701999999999</v>
      </c>
      <c r="D28">
        <v>58.994</v>
      </c>
      <c r="E28">
        <v>59.843000000000004</v>
      </c>
      <c r="F28">
        <v>51.094999999999999</v>
      </c>
      <c r="G28">
        <v>5.03</v>
      </c>
      <c r="H28">
        <v>4.57</v>
      </c>
    </row>
    <row r="29" spans="1:8" x14ac:dyDescent="0.15">
      <c r="A29" t="s">
        <v>92</v>
      </c>
      <c r="B29">
        <v>19198.474999999999</v>
      </c>
      <c r="C29">
        <v>19249.940999999999</v>
      </c>
      <c r="D29">
        <v>74.694999999999993</v>
      </c>
      <c r="E29">
        <v>64.856999999999999</v>
      </c>
      <c r="F29">
        <v>87.546000000000006</v>
      </c>
      <c r="G29">
        <v>4.0599999999999996</v>
      </c>
      <c r="H29">
        <v>3.8</v>
      </c>
    </row>
    <row r="30" spans="1:8" x14ac:dyDescent="0.15">
      <c r="A30" t="s">
        <v>93</v>
      </c>
      <c r="B30">
        <v>22944.891</v>
      </c>
      <c r="C30">
        <v>10569.675999999999</v>
      </c>
      <c r="D30">
        <v>75.792000000000002</v>
      </c>
      <c r="E30">
        <v>52.067999999999998</v>
      </c>
      <c r="F30">
        <v>61.802999999999997</v>
      </c>
      <c r="G30">
        <v>3.83</v>
      </c>
      <c r="H30">
        <v>3.49</v>
      </c>
    </row>
    <row r="31" spans="1:8" x14ac:dyDescent="0.15">
      <c r="A31" t="s">
        <v>94</v>
      </c>
      <c r="B31">
        <v>22539.867999999999</v>
      </c>
      <c r="C31">
        <v>6533.1909999999998</v>
      </c>
      <c r="D31">
        <v>64.503</v>
      </c>
      <c r="E31">
        <v>34.935000000000002</v>
      </c>
      <c r="F31">
        <v>42.545000000000002</v>
      </c>
      <c r="G31">
        <v>24.21</v>
      </c>
      <c r="H31">
        <v>11.25</v>
      </c>
    </row>
    <row r="32" spans="1:8" x14ac:dyDescent="0.15">
      <c r="A32" t="s">
        <v>95</v>
      </c>
      <c r="B32">
        <v>24706.092000000001</v>
      </c>
      <c r="C32">
        <v>7187.491</v>
      </c>
      <c r="D32">
        <v>52.040999999999997</v>
      </c>
      <c r="E32">
        <v>43.831000000000003</v>
      </c>
      <c r="F32">
        <v>59.877000000000002</v>
      </c>
      <c r="G32">
        <v>25.49</v>
      </c>
      <c r="H32">
        <v>12.51</v>
      </c>
    </row>
    <row r="33" spans="1:8" x14ac:dyDescent="0.15">
      <c r="A33" t="s">
        <v>96</v>
      </c>
      <c r="B33">
        <v>22414.137999999999</v>
      </c>
      <c r="C33">
        <v>7197.38</v>
      </c>
      <c r="D33">
        <v>48.545000000000002</v>
      </c>
      <c r="E33">
        <v>39.07</v>
      </c>
      <c r="F33">
        <v>52.277000000000001</v>
      </c>
      <c r="G33">
        <v>25.08</v>
      </c>
      <c r="H33">
        <v>11.48</v>
      </c>
    </row>
    <row r="34" spans="1:8" x14ac:dyDescent="0.15">
      <c r="A34" t="s">
        <v>97</v>
      </c>
      <c r="B34">
        <v>20591.18</v>
      </c>
      <c r="C34">
        <v>6408.8819999999996</v>
      </c>
      <c r="D34">
        <v>50.816000000000003</v>
      </c>
      <c r="E34">
        <v>46.500999999999998</v>
      </c>
      <c r="F34">
        <v>60.682000000000002</v>
      </c>
      <c r="G34">
        <v>23.74</v>
      </c>
      <c r="H34">
        <v>10.56</v>
      </c>
    </row>
    <row r="35" spans="1:8" x14ac:dyDescent="0.15">
      <c r="A35" t="s">
        <v>98</v>
      </c>
      <c r="B35">
        <v>22312.103999999999</v>
      </c>
      <c r="C35">
        <v>6509.4210000000003</v>
      </c>
      <c r="D35">
        <v>63.94</v>
      </c>
      <c r="E35">
        <v>49.360999999999997</v>
      </c>
      <c r="F35">
        <v>54.404000000000003</v>
      </c>
      <c r="G35">
        <v>23.07</v>
      </c>
      <c r="H35">
        <v>10.34</v>
      </c>
    </row>
    <row r="36" spans="1:8" x14ac:dyDescent="0.15">
      <c r="A36" t="s">
        <v>99</v>
      </c>
      <c r="B36">
        <v>16294.244000000001</v>
      </c>
      <c r="C36">
        <v>5783.3869999999997</v>
      </c>
      <c r="D36">
        <v>45.639000000000003</v>
      </c>
      <c r="E36">
        <v>41.661000000000001</v>
      </c>
      <c r="F36">
        <v>52.195999999999998</v>
      </c>
      <c r="G36">
        <v>17.170000000000002</v>
      </c>
      <c r="H36">
        <v>7.5</v>
      </c>
    </row>
    <row r="37" spans="1:8" x14ac:dyDescent="0.15">
      <c r="A37" t="s">
        <v>100</v>
      </c>
      <c r="B37">
        <v>33005.750999999997</v>
      </c>
      <c r="C37">
        <v>8099.7280000000001</v>
      </c>
      <c r="D37">
        <v>65.994</v>
      </c>
      <c r="E37">
        <v>36.712000000000003</v>
      </c>
      <c r="F37">
        <v>42.146999999999998</v>
      </c>
      <c r="G37">
        <v>41.41</v>
      </c>
      <c r="H37">
        <v>20.45</v>
      </c>
    </row>
    <row r="38" spans="1:8" x14ac:dyDescent="0.15">
      <c r="A38" t="s">
        <v>101</v>
      </c>
      <c r="B38">
        <v>35198.993000000002</v>
      </c>
      <c r="C38">
        <v>9783.8330000000005</v>
      </c>
      <c r="D38">
        <v>71.450999999999993</v>
      </c>
      <c r="E38">
        <v>50.369</v>
      </c>
      <c r="F38">
        <v>65.328000000000003</v>
      </c>
      <c r="G38">
        <v>35.36</v>
      </c>
      <c r="H38">
        <v>17.93</v>
      </c>
    </row>
    <row r="39" spans="1:8" x14ac:dyDescent="0.15">
      <c r="A39" t="s">
        <v>102</v>
      </c>
      <c r="B39">
        <v>28838.348999999998</v>
      </c>
      <c r="C39">
        <v>11422.615</v>
      </c>
      <c r="D39">
        <v>83.891000000000005</v>
      </c>
      <c r="E39">
        <v>44.593000000000004</v>
      </c>
      <c r="F39">
        <v>54.725000000000001</v>
      </c>
      <c r="G39">
        <v>29.06</v>
      </c>
      <c r="H39">
        <v>13.42</v>
      </c>
    </row>
    <row r="40" spans="1:8" x14ac:dyDescent="0.15">
      <c r="A40" t="s">
        <v>103</v>
      </c>
      <c r="B40">
        <v>31249.955000000002</v>
      </c>
      <c r="C40">
        <v>10464.875</v>
      </c>
      <c r="D40">
        <v>72.171000000000006</v>
      </c>
      <c r="E40">
        <v>43.418999999999997</v>
      </c>
      <c r="F40">
        <v>51.613</v>
      </c>
      <c r="G40">
        <v>5.9</v>
      </c>
      <c r="H40">
        <v>5.46</v>
      </c>
    </row>
    <row r="41" spans="1:8" x14ac:dyDescent="0.15">
      <c r="A41" t="s">
        <v>104</v>
      </c>
      <c r="B41">
        <v>35810.533000000003</v>
      </c>
      <c r="C41">
        <v>11103.766</v>
      </c>
      <c r="D41">
        <v>65.347999999999999</v>
      </c>
      <c r="E41">
        <v>51.264000000000003</v>
      </c>
      <c r="F41">
        <v>65.361999999999995</v>
      </c>
      <c r="G41">
        <v>8.52</v>
      </c>
      <c r="H41">
        <v>7.9</v>
      </c>
    </row>
    <row r="42" spans="1:8" x14ac:dyDescent="0.15">
      <c r="A42" t="s">
        <v>105</v>
      </c>
      <c r="B42">
        <v>17405.883999999998</v>
      </c>
      <c r="C42">
        <v>9387.6360000000004</v>
      </c>
      <c r="D42">
        <v>83.066999999999993</v>
      </c>
      <c r="E42">
        <v>44.424999999999997</v>
      </c>
      <c r="F42">
        <v>64.302000000000007</v>
      </c>
      <c r="G42">
        <v>5.41</v>
      </c>
      <c r="H42">
        <v>5.04</v>
      </c>
    </row>
    <row r="43" spans="1:8" x14ac:dyDescent="0.15">
      <c r="A43" t="s">
        <v>106</v>
      </c>
      <c r="B43">
        <v>35516.811999999998</v>
      </c>
      <c r="C43">
        <v>12199.393</v>
      </c>
      <c r="D43">
        <v>54.664999999999999</v>
      </c>
      <c r="E43">
        <v>50.231000000000002</v>
      </c>
      <c r="F43">
        <v>58.433999999999997</v>
      </c>
      <c r="G43">
        <v>7.23</v>
      </c>
      <c r="H43">
        <v>6.72</v>
      </c>
    </row>
    <row r="44" spans="1:8" x14ac:dyDescent="0.15">
      <c r="A44" t="s">
        <v>107</v>
      </c>
      <c r="B44">
        <v>25192.880000000001</v>
      </c>
      <c r="C44">
        <v>11088.989</v>
      </c>
      <c r="D44">
        <v>98.631</v>
      </c>
      <c r="E44">
        <v>65.960999999999999</v>
      </c>
      <c r="F44">
        <v>53.225000000000001</v>
      </c>
      <c r="G44">
        <v>5.33</v>
      </c>
      <c r="H44">
        <v>4.97</v>
      </c>
    </row>
    <row r="45" spans="1:8" x14ac:dyDescent="0.15">
      <c r="A45" t="s">
        <v>108</v>
      </c>
      <c r="B45">
        <v>14238.907999999999</v>
      </c>
      <c r="C45">
        <v>7713.9880000000003</v>
      </c>
      <c r="D45">
        <v>54.237000000000002</v>
      </c>
      <c r="E45">
        <v>42.301000000000002</v>
      </c>
      <c r="F45">
        <v>52.155999999999999</v>
      </c>
      <c r="G45">
        <v>2.95</v>
      </c>
      <c r="H45">
        <v>2.77</v>
      </c>
    </row>
    <row r="46" spans="1:8" x14ac:dyDescent="0.15">
      <c r="A46" t="s">
        <v>109</v>
      </c>
      <c r="B46">
        <v>38172.652000000002</v>
      </c>
      <c r="C46">
        <v>16012.465</v>
      </c>
      <c r="D46">
        <v>73.147000000000006</v>
      </c>
      <c r="E46">
        <v>53.395000000000003</v>
      </c>
      <c r="F46">
        <v>68.099000000000004</v>
      </c>
      <c r="G46">
        <v>6.59</v>
      </c>
      <c r="H46">
        <v>6.16</v>
      </c>
    </row>
    <row r="47" spans="1:8" x14ac:dyDescent="0.15">
      <c r="A47" t="s">
        <v>114</v>
      </c>
      <c r="B47">
        <v>53898.63</v>
      </c>
      <c r="C47">
        <v>12917.763999999999</v>
      </c>
      <c r="D47">
        <v>56.401000000000003</v>
      </c>
      <c r="E47">
        <v>48.491</v>
      </c>
      <c r="F47">
        <v>63.201999999999998</v>
      </c>
      <c r="G47">
        <v>15.23</v>
      </c>
      <c r="H47">
        <v>11.64</v>
      </c>
    </row>
    <row r="48" spans="1:8" x14ac:dyDescent="0.15">
      <c r="A48" t="s">
        <v>110</v>
      </c>
      <c r="B48">
        <v>45086.351000000002</v>
      </c>
      <c r="C48">
        <v>14015.377</v>
      </c>
      <c r="D48">
        <v>72.942999999999998</v>
      </c>
      <c r="E48">
        <v>61.892000000000003</v>
      </c>
      <c r="F48">
        <v>59.542000000000002</v>
      </c>
      <c r="G48">
        <v>8.1999999999999993</v>
      </c>
      <c r="H48">
        <v>7.64</v>
      </c>
    </row>
    <row r="49" spans="1:8" x14ac:dyDescent="0.15">
      <c r="A49" t="s">
        <v>111</v>
      </c>
      <c r="B49">
        <v>43618.112000000001</v>
      </c>
      <c r="C49">
        <v>13873.928</v>
      </c>
      <c r="D49">
        <v>73.48</v>
      </c>
      <c r="E49">
        <v>62.459000000000003</v>
      </c>
      <c r="F49">
        <v>65.820999999999998</v>
      </c>
      <c r="G49">
        <v>12.99</v>
      </c>
      <c r="H49">
        <v>11.77</v>
      </c>
    </row>
    <row r="50" spans="1:8" x14ac:dyDescent="0.15">
      <c r="A50" t="s">
        <v>112</v>
      </c>
      <c r="B50">
        <v>13114.105</v>
      </c>
      <c r="C50">
        <v>10149.223</v>
      </c>
      <c r="D50">
        <v>70.534000000000006</v>
      </c>
      <c r="E50">
        <v>43.558</v>
      </c>
      <c r="F50">
        <v>60.793999999999997</v>
      </c>
      <c r="G50">
        <v>4.1100000000000003</v>
      </c>
      <c r="H50">
        <v>3.81</v>
      </c>
    </row>
    <row r="51" spans="1:8" x14ac:dyDescent="0.15">
      <c r="A51" t="s">
        <v>113</v>
      </c>
      <c r="B51">
        <v>27397.567999999999</v>
      </c>
      <c r="C51">
        <v>11462.023999999999</v>
      </c>
      <c r="D51">
        <v>78.875</v>
      </c>
      <c r="E51">
        <v>42.622</v>
      </c>
      <c r="F51">
        <v>66.599000000000004</v>
      </c>
      <c r="G51">
        <v>5.69</v>
      </c>
      <c r="H51">
        <v>5.32</v>
      </c>
    </row>
    <row r="52" spans="1:8" x14ac:dyDescent="0.15">
      <c r="A52" t="s">
        <v>115</v>
      </c>
      <c r="B52">
        <v>20609.096000000001</v>
      </c>
      <c r="C52">
        <v>8599.5259999999998</v>
      </c>
      <c r="D52">
        <v>82.242000000000004</v>
      </c>
      <c r="E52">
        <v>60.332999999999998</v>
      </c>
      <c r="F52">
        <v>61.323</v>
      </c>
      <c r="G52">
        <v>7.12</v>
      </c>
      <c r="H52">
        <v>6.6</v>
      </c>
    </row>
    <row r="53" spans="1:8" x14ac:dyDescent="0.15">
      <c r="A53" t="s">
        <v>116</v>
      </c>
      <c r="B53">
        <v>23870.208999999999</v>
      </c>
      <c r="C53">
        <v>9447.0390000000007</v>
      </c>
      <c r="D53">
        <v>58.423000000000002</v>
      </c>
      <c r="E53">
        <v>42.582999999999998</v>
      </c>
      <c r="F53">
        <v>57.369</v>
      </c>
      <c r="G53">
        <v>5.8</v>
      </c>
      <c r="H53">
        <v>5.38</v>
      </c>
    </row>
    <row r="54" spans="1:8" x14ac:dyDescent="0.15">
      <c r="A54" t="s">
        <v>117</v>
      </c>
      <c r="B54">
        <v>25242.499</v>
      </c>
      <c r="C54">
        <v>11228.331</v>
      </c>
      <c r="D54">
        <v>66.546000000000006</v>
      </c>
      <c r="E54">
        <v>55.463000000000001</v>
      </c>
      <c r="F54">
        <v>61.094999999999999</v>
      </c>
      <c r="G54">
        <v>8.2899999999999991</v>
      </c>
      <c r="H54">
        <v>7.7</v>
      </c>
    </row>
    <row r="55" spans="1:8" x14ac:dyDescent="0.15">
      <c r="A55" t="s">
        <v>118</v>
      </c>
      <c r="B55">
        <v>53500.813000000002</v>
      </c>
      <c r="C55">
        <v>17240.785</v>
      </c>
      <c r="D55">
        <v>90.096000000000004</v>
      </c>
      <c r="E55">
        <v>60.576000000000001</v>
      </c>
      <c r="F55">
        <v>80.748000000000005</v>
      </c>
      <c r="G55">
        <v>9.8800000000000008</v>
      </c>
      <c r="H55">
        <v>9.16</v>
      </c>
    </row>
  </sheetData>
  <pageMargins left="0.7" right="0.7" top="0.75" bottom="0.75" header="0.3" footer="0.3"/>
  <pageSetup paperSize="9" scale="56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F26E-60B6-444E-85C6-27A62C9D79EA}">
  <dimension ref="A1:G11"/>
  <sheetViews>
    <sheetView zoomScale="192" workbookViewId="0">
      <selection activeCell="B2" sqref="B2"/>
    </sheetView>
  </sheetViews>
  <sheetFormatPr baseColWidth="10" defaultColWidth="8.6640625" defaultRowHeight="14" x14ac:dyDescent="0.15"/>
  <cols>
    <col min="1" max="1" width="15.6640625" bestFit="1" customWidth="1"/>
    <col min="2" max="2" width="15.5" bestFit="1" customWidth="1"/>
    <col min="3" max="3" width="20.1640625" bestFit="1" customWidth="1"/>
    <col min="4" max="4" width="14.1640625" bestFit="1" customWidth="1"/>
    <col min="5" max="5" width="13" bestFit="1" customWidth="1"/>
    <col min="6" max="6" width="13.6640625" bestFit="1" customWidth="1"/>
    <col min="7" max="7" width="10.1640625" bestFit="1" customWidth="1"/>
  </cols>
  <sheetData>
    <row r="1" spans="1:7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15">
      <c r="A2" t="s">
        <v>121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 t="s">
        <v>36</v>
      </c>
    </row>
    <row r="3" spans="1:7" x14ac:dyDescent="0.15">
      <c r="A3" t="s">
        <v>122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 t="s">
        <v>36</v>
      </c>
    </row>
    <row r="4" spans="1:7" x14ac:dyDescent="0.15">
      <c r="A4" t="s">
        <v>123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 t="s">
        <v>36</v>
      </c>
    </row>
    <row r="5" spans="1:7" x14ac:dyDescent="0.15">
      <c r="A5" t="s">
        <v>124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 t="s">
        <v>36</v>
      </c>
    </row>
    <row r="6" spans="1:7" x14ac:dyDescent="0.15">
      <c r="A6" t="s">
        <v>125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 t="s">
        <v>36</v>
      </c>
    </row>
    <row r="7" spans="1:7" x14ac:dyDescent="0.15">
      <c r="A7" t="s">
        <v>126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 t="s">
        <v>36</v>
      </c>
    </row>
    <row r="8" spans="1:7" x14ac:dyDescent="0.15">
      <c r="A8" t="s">
        <v>127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 t="s">
        <v>36</v>
      </c>
    </row>
    <row r="9" spans="1:7" x14ac:dyDescent="0.15">
      <c r="A9" t="s">
        <v>128</v>
      </c>
      <c r="B9">
        <v>2012.87</v>
      </c>
      <c r="C9">
        <v>19842.562999999998</v>
      </c>
      <c r="D9">
        <v>144.81200000000001</v>
      </c>
      <c r="E9">
        <v>79.558999999999997</v>
      </c>
      <c r="F9">
        <v>116.157</v>
      </c>
      <c r="G9" t="s">
        <v>36</v>
      </c>
    </row>
    <row r="10" spans="1:7" x14ac:dyDescent="0.15">
      <c r="A10" t="s">
        <v>129</v>
      </c>
      <c r="B10">
        <v>8393.2890000000007</v>
      </c>
      <c r="C10">
        <v>12660.785</v>
      </c>
      <c r="D10">
        <v>110.39100000000001</v>
      </c>
      <c r="E10">
        <v>66.625</v>
      </c>
      <c r="F10">
        <v>92.525000000000006</v>
      </c>
      <c r="G10" t="s">
        <v>36</v>
      </c>
    </row>
    <row r="11" spans="1:7" x14ac:dyDescent="0.15">
      <c r="A11" t="s">
        <v>130</v>
      </c>
      <c r="B11">
        <v>4163.96</v>
      </c>
      <c r="C11">
        <v>12572.494000000001</v>
      </c>
      <c r="D11">
        <v>87.742000000000004</v>
      </c>
      <c r="E11">
        <v>74.17</v>
      </c>
      <c r="F11">
        <v>114.47499999999999</v>
      </c>
      <c r="G11" t="s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541A-AE7F-4362-A5B0-1DC6B89DB5E3}">
  <dimension ref="A1:H13"/>
  <sheetViews>
    <sheetView workbookViewId="0">
      <selection activeCell="G3" sqref="G3"/>
    </sheetView>
  </sheetViews>
  <sheetFormatPr baseColWidth="10" defaultColWidth="8.6640625" defaultRowHeight="14" x14ac:dyDescent="0.15"/>
  <cols>
    <col min="1" max="1" width="15.6640625" bestFit="1" customWidth="1"/>
    <col min="2" max="2" width="15.5" bestFit="1" customWidth="1"/>
    <col min="3" max="3" width="28.5" customWidth="1"/>
    <col min="4" max="4" width="19.33203125" customWidth="1"/>
    <col min="5" max="5" width="18.1640625" customWidth="1"/>
    <col min="6" max="6" width="21" customWidth="1"/>
    <col min="7" max="7" width="18.33203125" customWidth="1"/>
    <col min="8" max="8" width="22.5" customWidth="1"/>
  </cols>
  <sheetData>
    <row r="1" spans="1:8" x14ac:dyDescent="0.15">
      <c r="A1" t="s">
        <v>30</v>
      </c>
      <c r="B1" t="s">
        <v>63</v>
      </c>
      <c r="C1" t="s">
        <v>64</v>
      </c>
      <c r="D1" t="s">
        <v>31</v>
      </c>
      <c r="E1" t="s">
        <v>32</v>
      </c>
      <c r="F1" t="s">
        <v>33</v>
      </c>
      <c r="G1" t="s">
        <v>119</v>
      </c>
      <c r="H1" t="s">
        <v>120</v>
      </c>
    </row>
    <row r="2" spans="1:8" x14ac:dyDescent="0.15">
      <c r="A2" t="s">
        <v>121</v>
      </c>
      <c r="B2">
        <v>7053.2719999999999</v>
      </c>
      <c r="C2">
        <v>11552.513999999999</v>
      </c>
      <c r="D2">
        <v>98.89</v>
      </c>
      <c r="E2">
        <v>76.915999999999997</v>
      </c>
      <c r="F2">
        <v>98.759</v>
      </c>
      <c r="G2">
        <v>5.43</v>
      </c>
      <c r="H2">
        <v>5.0999999999999996</v>
      </c>
    </row>
    <row r="3" spans="1:8" x14ac:dyDescent="0.15">
      <c r="A3" t="s">
        <v>122</v>
      </c>
      <c r="B3">
        <v>9543.5720000000001</v>
      </c>
      <c r="C3">
        <v>14406.642</v>
      </c>
      <c r="D3">
        <v>108.086</v>
      </c>
      <c r="E3">
        <v>65.522999999999996</v>
      </c>
      <c r="F3">
        <v>91.581999999999994</v>
      </c>
      <c r="G3">
        <v>7.64</v>
      </c>
      <c r="H3">
        <v>6.13</v>
      </c>
    </row>
    <row r="4" spans="1:8" x14ac:dyDescent="0.15">
      <c r="A4" t="s">
        <v>123</v>
      </c>
      <c r="B4">
        <v>9641.0370000000003</v>
      </c>
      <c r="C4">
        <v>18212.135999999999</v>
      </c>
      <c r="D4">
        <v>120.901</v>
      </c>
      <c r="E4">
        <v>66.192999999999998</v>
      </c>
      <c r="F4">
        <v>90.959000000000003</v>
      </c>
      <c r="G4">
        <v>10.6</v>
      </c>
      <c r="H4">
        <v>9.57</v>
      </c>
    </row>
    <row r="5" spans="1:8" x14ac:dyDescent="0.15">
      <c r="A5" t="s">
        <v>124</v>
      </c>
      <c r="B5">
        <v>6111.69</v>
      </c>
      <c r="C5">
        <v>16514.09</v>
      </c>
      <c r="D5">
        <v>120.649</v>
      </c>
      <c r="E5">
        <v>79.433000000000007</v>
      </c>
      <c r="F5">
        <v>103.30800000000001</v>
      </c>
      <c r="G5">
        <v>6.38</v>
      </c>
      <c r="H5">
        <v>6.19</v>
      </c>
    </row>
    <row r="6" spans="1:8" x14ac:dyDescent="0.15">
      <c r="A6" t="s">
        <v>125</v>
      </c>
      <c r="B6">
        <v>3515.0749999999998</v>
      </c>
      <c r="C6">
        <v>11799.508</v>
      </c>
      <c r="D6">
        <v>105.425</v>
      </c>
      <c r="E6">
        <v>85.918999999999997</v>
      </c>
      <c r="F6">
        <v>118.551</v>
      </c>
      <c r="G6">
        <v>3.44</v>
      </c>
      <c r="H6">
        <v>3.37</v>
      </c>
    </row>
    <row r="7" spans="1:8" x14ac:dyDescent="0.15">
      <c r="A7" t="s">
        <v>126</v>
      </c>
      <c r="B7">
        <v>5733.1229999999996</v>
      </c>
      <c r="C7">
        <v>15034.901</v>
      </c>
      <c r="D7">
        <v>84.176000000000002</v>
      </c>
      <c r="E7">
        <v>79.028999999999996</v>
      </c>
      <c r="F7">
        <v>118.17700000000001</v>
      </c>
      <c r="G7">
        <v>6.05</v>
      </c>
      <c r="H7">
        <v>5.81</v>
      </c>
    </row>
    <row r="8" spans="1:8" x14ac:dyDescent="0.15">
      <c r="A8" t="s">
        <v>127</v>
      </c>
      <c r="B8">
        <v>5027.7550000000001</v>
      </c>
      <c r="C8">
        <v>14622.784</v>
      </c>
      <c r="D8">
        <v>104.16</v>
      </c>
      <c r="E8">
        <v>67.269000000000005</v>
      </c>
      <c r="F8">
        <v>86.41</v>
      </c>
      <c r="G8">
        <v>4.51</v>
      </c>
      <c r="H8">
        <v>4.1100000000000003</v>
      </c>
    </row>
    <row r="9" spans="1:8" x14ac:dyDescent="0.15">
      <c r="A9" t="s">
        <v>128</v>
      </c>
      <c r="B9">
        <v>6458.08</v>
      </c>
      <c r="C9">
        <v>19842.562999999998</v>
      </c>
      <c r="D9">
        <v>144.81200000000001</v>
      </c>
      <c r="E9">
        <v>79.558999999999997</v>
      </c>
      <c r="F9">
        <v>116.157</v>
      </c>
      <c r="G9">
        <v>5.78</v>
      </c>
      <c r="H9">
        <v>5.29</v>
      </c>
    </row>
    <row r="10" spans="1:8" x14ac:dyDescent="0.15">
      <c r="A10" t="s">
        <v>131</v>
      </c>
      <c r="B10">
        <v>6059</v>
      </c>
      <c r="G10" s="3">
        <v>5.15</v>
      </c>
      <c r="H10">
        <v>4.8499999999999996</v>
      </c>
    </row>
    <row r="11" spans="1:8" x14ac:dyDescent="0.15">
      <c r="A11" t="s">
        <v>132</v>
      </c>
      <c r="B11">
        <v>5111</v>
      </c>
      <c r="G11">
        <v>4.5999999999999996</v>
      </c>
      <c r="H11">
        <v>4.3499999999999996</v>
      </c>
    </row>
    <row r="12" spans="1:8" x14ac:dyDescent="0.15">
      <c r="A12" t="s">
        <v>129</v>
      </c>
      <c r="B12">
        <v>8393.2890000000007</v>
      </c>
      <c r="C12">
        <v>12660.785</v>
      </c>
      <c r="D12">
        <v>110.39100000000001</v>
      </c>
      <c r="E12">
        <v>66.625</v>
      </c>
      <c r="F12">
        <v>92.525000000000006</v>
      </c>
      <c r="G12">
        <v>5.78</v>
      </c>
      <c r="H12">
        <v>5.61</v>
      </c>
    </row>
    <row r="13" spans="1:8" x14ac:dyDescent="0.15">
      <c r="A13" t="s">
        <v>130</v>
      </c>
      <c r="B13">
        <v>4163.96</v>
      </c>
      <c r="C13">
        <v>12572.494000000001</v>
      </c>
      <c r="D13">
        <v>87.742000000000004</v>
      </c>
      <c r="E13">
        <v>74.17</v>
      </c>
      <c r="F13">
        <v>114.47499999999999</v>
      </c>
      <c r="G13">
        <v>4.08</v>
      </c>
      <c r="H13">
        <v>3.99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C2E3C-7F11-49A6-B2D6-AFFF35609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MC</vt:lpstr>
      <vt:lpstr>MC plot</vt:lpstr>
      <vt:lpstr>twig bulk density (raw)</vt:lpstr>
      <vt:lpstr>stringybark bulk density (raw)</vt:lpstr>
      <vt:lpstr>twig bulk density</vt:lpstr>
      <vt:lpstr>stringybark bulk density</vt:lpstr>
      <vt:lpstr>candle bark density (raw)</vt:lpstr>
      <vt:lpstr>candle bark density</vt:lpstr>
      <vt:lpstr>'stringybark bulk density'!Print_Area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 Ninh Nguyen</dc:creator>
  <cp:keywords/>
  <dc:description/>
  <cp:lastModifiedBy>Ha Ninh Nguyen</cp:lastModifiedBy>
  <cp:revision/>
  <dcterms:created xsi:type="dcterms:W3CDTF">2025-04-08T05:02:37Z</dcterms:created>
  <dcterms:modified xsi:type="dcterms:W3CDTF">2026-01-25T18:37:02Z</dcterms:modified>
  <cp:category/>
  <cp:contentStatus/>
</cp:coreProperties>
</file>