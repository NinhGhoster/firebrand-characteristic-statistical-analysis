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"/>
    </mc:Choice>
  </mc:AlternateContent>
  <xr:revisionPtr revIDLastSave="1" documentId="8_{AAFCE635-D9F3-D24B-A1CF-31A5BDD9C714}" xr6:coauthVersionLast="47" xr6:coauthVersionMax="47" xr10:uidLastSave="{1C526FA9-83D1-0442-BB01-8ECA4944652D}"/>
  <bookViews>
    <workbookView xWindow="34860" yWindow="-4820" windowWidth="29420" windowHeight="21000" xr2:uid="{00000000-000D-0000-FFFF-FFFF00000000}"/>
  </bookViews>
  <sheets>
    <sheet name="Sheet1" sheetId="1" r:id="rId1"/>
    <sheet name="le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L53" i="1"/>
  <c r="L43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43" i="1"/>
  <c r="G44" i="1"/>
  <c r="G45" i="1"/>
  <c r="G46" i="1"/>
  <c r="G47" i="1"/>
  <c r="G48" i="1"/>
  <c r="G49" i="1"/>
  <c r="G50" i="1"/>
  <c r="G51" i="1"/>
  <c r="G52" i="1"/>
  <c r="L33" i="1"/>
  <c r="G33" i="1"/>
  <c r="G34" i="1"/>
  <c r="G35" i="1"/>
  <c r="G36" i="1"/>
  <c r="G37" i="1"/>
  <c r="G38" i="1"/>
  <c r="G39" i="1"/>
  <c r="G40" i="1"/>
  <c r="G41" i="1"/>
  <c r="G42" i="1"/>
  <c r="L23" i="1"/>
  <c r="G32" i="1"/>
  <c r="G31" i="1"/>
  <c r="G30" i="1"/>
  <c r="G29" i="1"/>
  <c r="G28" i="1"/>
  <c r="G27" i="1"/>
  <c r="G26" i="1"/>
  <c r="G25" i="1"/>
  <c r="G24" i="1"/>
  <c r="G23" i="1"/>
  <c r="M3" i="1"/>
  <c r="L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</calcChain>
</file>

<file path=xl/sharedStrings.xml><?xml version="1.0" encoding="utf-8"?>
<sst xmlns="http://schemas.openxmlformats.org/spreadsheetml/2006/main" count="175" uniqueCount="153">
  <si>
    <t>150kW</t>
  </si>
  <si>
    <t>Mass (g)</t>
  </si>
  <si>
    <t>Started time</t>
  </si>
  <si>
    <t>Ended time</t>
  </si>
  <si>
    <t>Date</t>
  </si>
  <si>
    <t>Duration (mins)</t>
  </si>
  <si>
    <t>3D file ID start</t>
  </si>
  <si>
    <t>3D file ID end</t>
  </si>
  <si>
    <t>0330_01</t>
  </si>
  <si>
    <t>0331_01</t>
  </si>
  <si>
    <t>0330_09</t>
  </si>
  <si>
    <t>Note</t>
  </si>
  <si>
    <t>Lost the thermal footage due to full disk</t>
  </si>
  <si>
    <t>0331_06</t>
  </si>
  <si>
    <t>0331_07</t>
  </si>
  <si>
    <t>0403_04</t>
  </si>
  <si>
    <t>0403_05</t>
  </si>
  <si>
    <t>0403_08</t>
  </si>
  <si>
    <t>0403_09</t>
  </si>
  <si>
    <t>0403_13</t>
  </si>
  <si>
    <t>0404_01</t>
  </si>
  <si>
    <t>0404_05</t>
  </si>
  <si>
    <t>0405_05</t>
  </si>
  <si>
    <t>0405_10</t>
  </si>
  <si>
    <t>0406_03</t>
  </si>
  <si>
    <t>0406_10</t>
  </si>
  <si>
    <t>0407_01</t>
  </si>
  <si>
    <t>0407_06</t>
  </si>
  <si>
    <t>0407_10</t>
  </si>
  <si>
    <t>0407_17</t>
  </si>
  <si>
    <t>0407_23</t>
  </si>
  <si>
    <t>0408_01</t>
  </si>
  <si>
    <t>0408_06</t>
  </si>
  <si>
    <t>0408_11</t>
  </si>
  <si>
    <t>Number of scan</t>
  </si>
  <si>
    <t>0403_12</t>
  </si>
  <si>
    <t>0404_04</t>
  </si>
  <si>
    <t>0405_04</t>
  </si>
  <si>
    <t>0405_09</t>
  </si>
  <si>
    <t>0406_02</t>
  </si>
  <si>
    <t>0406_09</t>
  </si>
  <si>
    <t>0407_05</t>
  </si>
  <si>
    <t>0407_09</t>
  </si>
  <si>
    <t>0407_16</t>
  </si>
  <si>
    <t>0407_22</t>
  </si>
  <si>
    <t>0408_05</t>
  </si>
  <si>
    <t>0408_10</t>
  </si>
  <si>
    <t>0406_15</t>
  </si>
  <si>
    <t>0407_27</t>
  </si>
  <si>
    <t>0409_03</t>
  </si>
  <si>
    <t>Source.Name</t>
  </si>
  <si>
    <t>2 first thermal videos</t>
  </si>
  <si>
    <t>0422_07</t>
  </si>
  <si>
    <t>0423_04</t>
  </si>
  <si>
    <t>0423_09</t>
  </si>
  <si>
    <t>0423_12</t>
  </si>
  <si>
    <t>0423_20</t>
  </si>
  <si>
    <t>0423_23</t>
  </si>
  <si>
    <t>0424_01</t>
  </si>
  <si>
    <t>0424_05</t>
  </si>
  <si>
    <t>0423_15</t>
  </si>
  <si>
    <t>0422_06</t>
  </si>
  <si>
    <t>0423_03</t>
  </si>
  <si>
    <t>0423_08</t>
  </si>
  <si>
    <t>0423_11</t>
  </si>
  <si>
    <t>0423_14</t>
  </si>
  <si>
    <t>0423_19</t>
  </si>
  <si>
    <t>0423_22</t>
  </si>
  <si>
    <t>0423_27</t>
  </si>
  <si>
    <t>0424_04</t>
  </si>
  <si>
    <t>0424_10</t>
  </si>
  <si>
    <t>Pine</t>
  </si>
  <si>
    <t>Acacia</t>
  </si>
  <si>
    <t>Exp. Name</t>
  </si>
  <si>
    <t>No visual footage</t>
  </si>
  <si>
    <t>0506_03</t>
  </si>
  <si>
    <t>0506_07</t>
  </si>
  <si>
    <t>2 videos</t>
  </si>
  <si>
    <t>0506_10</t>
  </si>
  <si>
    <t>0507_04</t>
  </si>
  <si>
    <t>0507_01</t>
  </si>
  <si>
    <t>0507_06</t>
  </si>
  <si>
    <t>0507_09</t>
  </si>
  <si>
    <t>0507_11</t>
  </si>
  <si>
    <t>0507_14</t>
  </si>
  <si>
    <t>0506_02</t>
  </si>
  <si>
    <t>0506_06</t>
  </si>
  <si>
    <t>0506_09</t>
  </si>
  <si>
    <t>0507_03</t>
  </si>
  <si>
    <t>0507_05</t>
  </si>
  <si>
    <t>0507_08</t>
  </si>
  <si>
    <t>0507_10</t>
  </si>
  <si>
    <t>0507_13</t>
  </si>
  <si>
    <t>0506_12</t>
  </si>
  <si>
    <t>0508_02</t>
  </si>
  <si>
    <t>0507_14, 0508_01, 0508_02</t>
  </si>
  <si>
    <t>0521_01</t>
  </si>
  <si>
    <t>0522_01</t>
  </si>
  <si>
    <t>0522_03</t>
  </si>
  <si>
    <t>0522_06</t>
  </si>
  <si>
    <t>0522_08</t>
  </si>
  <si>
    <t>0524_01</t>
  </si>
  <si>
    <t>0524_03</t>
  </si>
  <si>
    <t>0524_08</t>
  </si>
  <si>
    <t>0524_12</t>
  </si>
  <si>
    <t>0522_02</t>
  </si>
  <si>
    <t>0521_02</t>
  </si>
  <si>
    <t>0522_05</t>
  </si>
  <si>
    <t>0522_07</t>
  </si>
  <si>
    <t>0522_09</t>
  </si>
  <si>
    <t>0524_02</t>
  </si>
  <si>
    <t>0524_06</t>
  </si>
  <si>
    <t>0524_05</t>
  </si>
  <si>
    <t>0524_07</t>
  </si>
  <si>
    <t>0524_11</t>
  </si>
  <si>
    <t>0524_14</t>
  </si>
  <si>
    <t>0524_15</t>
  </si>
  <si>
    <t>0524_17</t>
  </si>
  <si>
    <t>0524_19</t>
  </si>
  <si>
    <t>0524_21</t>
  </si>
  <si>
    <t>0526_04</t>
  </si>
  <si>
    <t>0526_06</t>
  </si>
  <si>
    <t>0526_08</t>
  </si>
  <si>
    <t>0526_11</t>
  </si>
  <si>
    <t>0526_13</t>
  </si>
  <si>
    <t>0526_01</t>
  </si>
  <si>
    <t>2 visual videos</t>
  </si>
  <si>
    <t>0524_16</t>
  </si>
  <si>
    <t>0524_18</t>
  </si>
  <si>
    <t>0524_20</t>
  </si>
  <si>
    <t>0526_03</t>
  </si>
  <si>
    <t>0526_05</t>
  </si>
  <si>
    <t>0526_07</t>
  </si>
  <si>
    <t>0526_10</t>
  </si>
  <si>
    <t>0526_12</t>
  </si>
  <si>
    <t>0524_22</t>
  </si>
  <si>
    <t>0526_15</t>
  </si>
  <si>
    <t>10 samples, 3 weren't burnt</t>
  </si>
  <si>
    <t>0609_01</t>
  </si>
  <si>
    <t>0609_06</t>
  </si>
  <si>
    <t>1 sample</t>
  </si>
  <si>
    <t>3 samples, 2 wasn't burnt</t>
  </si>
  <si>
    <t>Leaves (green), no leaves (white)</t>
  </si>
  <si>
    <t>Experiment number</t>
  </si>
  <si>
    <t>0403_18</t>
  </si>
  <si>
    <t>50 kW C1</t>
  </si>
  <si>
    <t>100 kW C1</t>
  </si>
  <si>
    <t>50 kW C2</t>
  </si>
  <si>
    <t>100 kW C2</t>
  </si>
  <si>
    <t>0421_01</t>
  </si>
  <si>
    <t>0505_01</t>
  </si>
  <si>
    <t>Additional test</t>
  </si>
  <si>
    <t>Twigs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</si>
</sst>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" fontId="0" fillId="0" borderId="0" xfId="0" applyNumberFormat="1"/>
    <xf numFmtId="0" fontId="0" fillId="3" borderId="1" xfId="0" applyFill="1" applyBorder="1"/>
    <xf numFmtId="20" fontId="0" fillId="3" borderId="1" xfId="0" applyNumberFormat="1" applyFill="1" applyBorder="1"/>
    <xf numFmtId="0" fontId="0" fillId="0" borderId="1" xfId="0" applyBorder="1"/>
    <xf numFmtId="20" fontId="0" fillId="0" borderId="1" xfId="0" applyNumberFormat="1" applyBorder="1"/>
    <xf numFmtId="0" fontId="0" fillId="2" borderId="2" xfId="0" applyFill="1" applyBorder="1"/>
    <xf numFmtId="0" fontId="0" fillId="6" borderId="1" xfId="0" applyFill="1" applyBorder="1"/>
    <xf numFmtId="20" fontId="0" fillId="6" borderId="1" xfId="0" applyNumberFormat="1" applyFill="1" applyBorder="1"/>
    <xf numFmtId="0" fontId="0" fillId="7" borderId="1" xfId="0" applyFill="1" applyBorder="1"/>
    <xf numFmtId="0" fontId="0" fillId="5" borderId="1" xfId="0" applyFill="1" applyBorder="1"/>
    <xf numFmtId="20" fontId="0" fillId="7" borderId="1" xfId="0" applyNumberFormat="1" applyFill="1" applyBorder="1"/>
    <xf numFmtId="20" fontId="0" fillId="5" borderId="1" xfId="0" applyNumberFormat="1" applyFill="1" applyBorder="1"/>
    <xf numFmtId="0" fontId="0" fillId="8" borderId="1" xfId="0" applyFill="1" applyBorder="1"/>
    <xf numFmtId="0" fontId="0" fillId="4" borderId="1" xfId="0" applyFill="1" applyBorder="1"/>
    <xf numFmtId="20" fontId="0" fillId="4" borderId="1" xfId="0" applyNumberFormat="1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1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16" fontId="0" fillId="9" borderId="4" xfId="0" applyNumberFormat="1" applyFill="1" applyBorder="1" applyAlignment="1">
      <alignment horizontal="center" vertical="center"/>
    </xf>
    <xf numFmtId="16" fontId="0" fillId="9" borderId="3" xfId="0" applyNumberFormat="1" applyFill="1" applyBorder="1" applyAlignment="1">
      <alignment horizontal="center" vertical="center"/>
    </xf>
    <xf numFmtId="16" fontId="0" fillId="9" borderId="5" xfId="0" applyNumberFormat="1" applyFill="1" applyBorder="1" applyAlignment="1">
      <alignment horizontal="center" vertical="center"/>
    </xf>
    <xf numFmtId="16" fontId="0" fillId="10" borderId="4" xfId="0" applyNumberFormat="1" applyFill="1" applyBorder="1" applyAlignment="1">
      <alignment horizontal="center" vertical="center"/>
    </xf>
    <xf numFmtId="16" fontId="0" fillId="10" borderId="3" xfId="0" applyNumberFormat="1" applyFill="1" applyBorder="1" applyAlignment="1">
      <alignment horizontal="center" vertical="center"/>
    </xf>
    <xf numFmtId="16" fontId="0" fillId="10" borderId="5" xfId="0" applyNumberFormat="1" applyFill="1" applyBorder="1" applyAlignment="1">
      <alignment horizontal="center" vertical="center"/>
    </xf>
    <xf numFmtId="16" fontId="0" fillId="11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topLeftCell="A24" zoomScale="158" zoomScaleNormal="130" workbookViewId="0">
      <selection activeCell="H42" sqref="H42"/>
    </sheetView>
  </sheetViews>
  <sheetFormatPr baseColWidth="10" defaultColWidth="8.83203125" defaultRowHeight="15" x14ac:dyDescent="0.2"/>
  <cols>
    <col min="1" max="1" width="32.33203125" customWidth="1"/>
    <col min="3" max="3" width="13" customWidth="1"/>
    <col min="4" max="4" width="9" customWidth="1"/>
    <col min="5" max="5" width="6.6640625" customWidth="1"/>
    <col min="6" max="6" width="6.1640625" customWidth="1"/>
    <col min="7" max="7" width="6.83203125" customWidth="1"/>
    <col min="8" max="8" width="13.6640625" customWidth="1"/>
    <col min="9" max="9" width="13" customWidth="1"/>
    <col min="10" max="10" width="15.5" customWidth="1"/>
    <col min="11" max="11" width="42" customWidth="1"/>
  </cols>
  <sheetData>
    <row r="1" spans="1:13" x14ac:dyDescent="0.2">
      <c r="C1" s="1"/>
      <c r="D1" t="s">
        <v>0</v>
      </c>
    </row>
    <row r="2" spans="1:13" x14ac:dyDescent="0.2">
      <c r="A2" s="4" t="s">
        <v>73</v>
      </c>
      <c r="B2" s="13" t="s">
        <v>4</v>
      </c>
      <c r="C2" s="13" t="s">
        <v>143</v>
      </c>
      <c r="D2" s="13" t="s">
        <v>1</v>
      </c>
      <c r="E2" s="13" t="s">
        <v>2</v>
      </c>
      <c r="F2" s="13" t="s">
        <v>3</v>
      </c>
      <c r="G2" s="13" t="s">
        <v>5</v>
      </c>
      <c r="H2" s="13" t="s">
        <v>6</v>
      </c>
      <c r="I2" s="13" t="s">
        <v>7</v>
      </c>
      <c r="J2" s="13" t="s">
        <v>34</v>
      </c>
      <c r="K2" s="13" t="s">
        <v>11</v>
      </c>
    </row>
    <row r="3" spans="1:13" x14ac:dyDescent="0.2">
      <c r="A3" s="35" t="s">
        <v>142</v>
      </c>
      <c r="B3" s="36">
        <v>45743</v>
      </c>
      <c r="C3" s="2">
        <v>1</v>
      </c>
      <c r="D3" s="2">
        <v>190</v>
      </c>
      <c r="E3" s="3">
        <v>0.48749999999999999</v>
      </c>
      <c r="F3" s="3">
        <v>0.49791666666666667</v>
      </c>
      <c r="G3" s="3">
        <f>F3-E3</f>
        <v>1.0416666666666685E-2</v>
      </c>
      <c r="H3" s="2" t="s">
        <v>8</v>
      </c>
      <c r="I3" s="2" t="s">
        <v>10</v>
      </c>
      <c r="J3" s="2">
        <v>9</v>
      </c>
      <c r="K3" s="2"/>
      <c r="L3">
        <f>J3+J5+J7+J9+J11+J13+J15+J17+J19+J21</f>
        <v>59</v>
      </c>
      <c r="M3">
        <f>J4+J6+J8+J10+J12+J14+J16+J18+J20+J22</f>
        <v>57</v>
      </c>
    </row>
    <row r="4" spans="1:13" x14ac:dyDescent="0.2">
      <c r="A4" s="35"/>
      <c r="B4" s="36"/>
      <c r="C4" s="4">
        <v>2</v>
      </c>
      <c r="D4" s="4">
        <v>150.1</v>
      </c>
      <c r="E4" s="5">
        <v>0.51527777777777772</v>
      </c>
      <c r="F4" s="5">
        <v>0.52638888888888891</v>
      </c>
      <c r="G4" s="5">
        <f t="shared" ref="G4:G65" si="0">F4-E4</f>
        <v>1.1111111111111183E-2</v>
      </c>
      <c r="H4" s="4" t="s">
        <v>9</v>
      </c>
      <c r="I4" s="4" t="s">
        <v>13</v>
      </c>
      <c r="J4" s="4">
        <v>6</v>
      </c>
      <c r="K4" s="4"/>
    </row>
    <row r="5" spans="1:13" x14ac:dyDescent="0.2">
      <c r="A5" s="35"/>
      <c r="B5" s="36"/>
      <c r="C5" s="2">
        <v>3</v>
      </c>
      <c r="D5" s="2">
        <v>220.8</v>
      </c>
      <c r="E5" s="3">
        <v>0.65138888888888891</v>
      </c>
      <c r="F5" s="3">
        <v>0.65902777777777777</v>
      </c>
      <c r="G5" s="3">
        <f t="shared" si="0"/>
        <v>7.6388888888888618E-3</v>
      </c>
      <c r="H5" s="2" t="s">
        <v>14</v>
      </c>
      <c r="I5" s="2" t="s">
        <v>15</v>
      </c>
      <c r="J5" s="2">
        <v>8</v>
      </c>
      <c r="K5" s="2"/>
    </row>
    <row r="6" spans="1:13" x14ac:dyDescent="0.2">
      <c r="A6" s="35"/>
      <c r="B6" s="36"/>
      <c r="C6" s="4">
        <v>4</v>
      </c>
      <c r="D6" s="4">
        <v>113.2</v>
      </c>
      <c r="E6" s="5">
        <v>0.68611111111111112</v>
      </c>
      <c r="F6" s="5">
        <v>0.69652777777777775</v>
      </c>
      <c r="G6" s="5">
        <f t="shared" si="0"/>
        <v>1.041666666666663E-2</v>
      </c>
      <c r="H6" s="4" t="s">
        <v>16</v>
      </c>
      <c r="I6" s="4" t="s">
        <v>17</v>
      </c>
      <c r="J6" s="4">
        <v>4</v>
      </c>
      <c r="K6" s="4"/>
    </row>
    <row r="7" spans="1:13" x14ac:dyDescent="0.2">
      <c r="A7" s="35"/>
      <c r="B7" s="36"/>
      <c r="C7" s="2">
        <v>5</v>
      </c>
      <c r="D7" s="2">
        <v>239.8</v>
      </c>
      <c r="E7" s="3">
        <v>0.70833333333333337</v>
      </c>
      <c r="F7" s="3">
        <v>0.71875</v>
      </c>
      <c r="G7" s="3">
        <f t="shared" si="0"/>
        <v>1.041666666666663E-2</v>
      </c>
      <c r="H7" s="2" t="s">
        <v>18</v>
      </c>
      <c r="I7" s="2" t="s">
        <v>35</v>
      </c>
      <c r="J7" s="2">
        <v>4</v>
      </c>
      <c r="K7" s="2"/>
    </row>
    <row r="8" spans="1:13" x14ac:dyDescent="0.2">
      <c r="A8" s="35"/>
      <c r="B8" s="36"/>
      <c r="C8" s="4">
        <v>6</v>
      </c>
      <c r="D8" s="4">
        <v>90.5</v>
      </c>
      <c r="E8" s="5">
        <v>0.73472222222222228</v>
      </c>
      <c r="F8" s="5">
        <v>0.73888888888888893</v>
      </c>
      <c r="G8" s="5">
        <f t="shared" si="0"/>
        <v>4.1666666666666519E-3</v>
      </c>
      <c r="H8" s="4" t="s">
        <v>19</v>
      </c>
      <c r="I8" s="5" t="s">
        <v>144</v>
      </c>
      <c r="J8" s="4">
        <v>6</v>
      </c>
      <c r="K8" s="4"/>
    </row>
    <row r="9" spans="1:13" x14ac:dyDescent="0.2">
      <c r="A9" s="35"/>
      <c r="B9" s="36"/>
      <c r="C9" s="2">
        <v>7</v>
      </c>
      <c r="D9" s="2">
        <v>214.3</v>
      </c>
      <c r="E9" s="3">
        <v>0.75208333333333333</v>
      </c>
      <c r="F9" s="3">
        <v>0.76249999999999996</v>
      </c>
      <c r="G9" s="3">
        <f t="shared" si="0"/>
        <v>1.041666666666663E-2</v>
      </c>
      <c r="H9" s="2" t="s">
        <v>20</v>
      </c>
      <c r="I9" s="2" t="s">
        <v>36</v>
      </c>
      <c r="J9" s="2">
        <v>4</v>
      </c>
      <c r="K9" s="2"/>
    </row>
    <row r="10" spans="1:13" x14ac:dyDescent="0.2">
      <c r="A10" s="35"/>
      <c r="B10" s="36"/>
      <c r="C10" s="4">
        <v>8</v>
      </c>
      <c r="D10" s="4">
        <v>114.5</v>
      </c>
      <c r="E10" s="5">
        <v>0.78402777777777777</v>
      </c>
      <c r="F10" s="5">
        <v>0.7944444444444444</v>
      </c>
      <c r="G10" s="5">
        <f t="shared" si="0"/>
        <v>1.041666666666663E-2</v>
      </c>
      <c r="H10" s="4" t="s">
        <v>21</v>
      </c>
      <c r="I10" s="4" t="s">
        <v>37</v>
      </c>
      <c r="J10" s="4">
        <v>8</v>
      </c>
      <c r="K10" s="4"/>
    </row>
    <row r="11" spans="1:13" x14ac:dyDescent="0.2">
      <c r="A11" s="35"/>
      <c r="B11" s="36">
        <v>45748</v>
      </c>
      <c r="C11" s="2">
        <v>9</v>
      </c>
      <c r="D11" s="2">
        <v>250.2</v>
      </c>
      <c r="E11" s="3">
        <v>0.59652777777777777</v>
      </c>
      <c r="F11" s="3">
        <v>0.6069444444444444</v>
      </c>
      <c r="G11" s="3">
        <f t="shared" si="0"/>
        <v>1.041666666666663E-2</v>
      </c>
      <c r="H11" s="2" t="s">
        <v>22</v>
      </c>
      <c r="I11" s="2" t="s">
        <v>38</v>
      </c>
      <c r="J11" s="2">
        <v>5</v>
      </c>
      <c r="K11" s="2"/>
    </row>
    <row r="12" spans="1:13" x14ac:dyDescent="0.2">
      <c r="A12" s="35"/>
      <c r="B12" s="36"/>
      <c r="C12" s="4">
        <v>10</v>
      </c>
      <c r="D12" s="4">
        <v>151</v>
      </c>
      <c r="E12" s="5">
        <v>0.61875000000000002</v>
      </c>
      <c r="F12" s="5">
        <v>0.62708333333333333</v>
      </c>
      <c r="G12" s="5">
        <f t="shared" si="0"/>
        <v>8.3333333333333037E-3</v>
      </c>
      <c r="H12" s="4" t="s">
        <v>23</v>
      </c>
      <c r="I12" s="4" t="s">
        <v>39</v>
      </c>
      <c r="J12" s="4">
        <v>5</v>
      </c>
      <c r="K12" s="4"/>
    </row>
    <row r="13" spans="1:13" x14ac:dyDescent="0.2">
      <c r="A13" s="35"/>
      <c r="B13" s="36"/>
      <c r="C13" s="2">
        <v>11</v>
      </c>
      <c r="D13" s="2">
        <v>248.3</v>
      </c>
      <c r="E13" s="3">
        <v>0.63541666666666663</v>
      </c>
      <c r="F13" s="3">
        <v>0.64375000000000004</v>
      </c>
      <c r="G13" s="3">
        <f t="shared" si="0"/>
        <v>8.3333333333334147E-3</v>
      </c>
      <c r="H13" s="2" t="s">
        <v>24</v>
      </c>
      <c r="I13" s="2" t="s">
        <v>40</v>
      </c>
      <c r="J13" s="2">
        <v>7</v>
      </c>
      <c r="K13" s="2"/>
    </row>
    <row r="14" spans="1:13" x14ac:dyDescent="0.2">
      <c r="A14" s="35"/>
      <c r="B14" s="36"/>
      <c r="C14" s="4">
        <v>12</v>
      </c>
      <c r="D14" s="4">
        <v>169</v>
      </c>
      <c r="E14" s="5">
        <v>0.65555555555555556</v>
      </c>
      <c r="F14" s="5">
        <v>0.66527777777777775</v>
      </c>
      <c r="G14" s="5">
        <f t="shared" si="0"/>
        <v>9.7222222222221877E-3</v>
      </c>
      <c r="H14" s="4" t="s">
        <v>25</v>
      </c>
      <c r="I14" s="4" t="s">
        <v>47</v>
      </c>
      <c r="J14" s="4">
        <v>6</v>
      </c>
      <c r="K14" s="4"/>
    </row>
    <row r="15" spans="1:13" x14ac:dyDescent="0.2">
      <c r="A15" s="35"/>
      <c r="B15" s="36"/>
      <c r="C15" s="2">
        <v>13</v>
      </c>
      <c r="D15" s="2">
        <v>236.5</v>
      </c>
      <c r="E15" s="3">
        <v>0.67361111111111116</v>
      </c>
      <c r="F15" s="3">
        <v>0.68125000000000002</v>
      </c>
      <c r="G15" s="3">
        <f t="shared" si="0"/>
        <v>7.6388888888888618E-3</v>
      </c>
      <c r="H15" s="2" t="s">
        <v>26</v>
      </c>
      <c r="I15" s="2" t="s">
        <v>41</v>
      </c>
      <c r="J15" s="2">
        <v>5</v>
      </c>
      <c r="K15" s="2"/>
    </row>
    <row r="16" spans="1:13" x14ac:dyDescent="0.2">
      <c r="A16" s="35"/>
      <c r="B16" s="36"/>
      <c r="C16" s="4">
        <v>14</v>
      </c>
      <c r="D16" s="4">
        <v>168.6</v>
      </c>
      <c r="E16" s="5">
        <v>0.69236111111111109</v>
      </c>
      <c r="F16" s="5">
        <v>0.70277777777777772</v>
      </c>
      <c r="G16" s="5">
        <f t="shared" si="0"/>
        <v>1.041666666666663E-2</v>
      </c>
      <c r="H16" s="4" t="s">
        <v>27</v>
      </c>
      <c r="I16" s="4" t="s">
        <v>42</v>
      </c>
      <c r="J16" s="4">
        <v>4</v>
      </c>
      <c r="K16" s="4"/>
    </row>
    <row r="17" spans="1:12" x14ac:dyDescent="0.2">
      <c r="A17" s="35"/>
      <c r="B17" s="36"/>
      <c r="C17" s="2">
        <v>15</v>
      </c>
      <c r="D17" s="2">
        <v>371</v>
      </c>
      <c r="E17" s="3">
        <v>0.71250000000000002</v>
      </c>
      <c r="F17" s="3">
        <v>0.72291666666666665</v>
      </c>
      <c r="G17" s="3">
        <f t="shared" si="0"/>
        <v>1.041666666666663E-2</v>
      </c>
      <c r="H17" s="2" t="s">
        <v>28</v>
      </c>
      <c r="I17" s="2" t="s">
        <v>43</v>
      </c>
      <c r="J17" s="2">
        <v>7</v>
      </c>
      <c r="K17" s="2"/>
    </row>
    <row r="18" spans="1:12" x14ac:dyDescent="0.2">
      <c r="A18" s="35"/>
      <c r="B18" s="36"/>
      <c r="C18" s="4">
        <v>16</v>
      </c>
      <c r="D18" s="4">
        <v>185</v>
      </c>
      <c r="E18" s="5">
        <v>0.73541666666666672</v>
      </c>
      <c r="F18" s="5">
        <v>0.74375000000000002</v>
      </c>
      <c r="G18" s="5">
        <f t="shared" si="0"/>
        <v>8.3333333333333037E-3</v>
      </c>
      <c r="H18" s="4" t="s">
        <v>29</v>
      </c>
      <c r="I18" s="4" t="s">
        <v>44</v>
      </c>
      <c r="J18" s="4">
        <v>6</v>
      </c>
      <c r="K18" s="4"/>
    </row>
    <row r="19" spans="1:12" x14ac:dyDescent="0.2">
      <c r="A19" s="35"/>
      <c r="B19" s="36"/>
      <c r="C19" s="2">
        <v>17</v>
      </c>
      <c r="D19" s="2">
        <v>464</v>
      </c>
      <c r="E19" s="3">
        <v>0.75694444444444442</v>
      </c>
      <c r="F19" s="3">
        <v>0.76736111111111116</v>
      </c>
      <c r="G19" s="3">
        <f t="shared" si="0"/>
        <v>1.0416666666666741E-2</v>
      </c>
      <c r="H19" s="2" t="s">
        <v>30</v>
      </c>
      <c r="I19" s="2" t="s">
        <v>48</v>
      </c>
      <c r="J19" s="2">
        <v>5</v>
      </c>
      <c r="K19" s="2"/>
    </row>
    <row r="20" spans="1:12" x14ac:dyDescent="0.2">
      <c r="A20" s="35"/>
      <c r="B20" s="36"/>
      <c r="C20" s="4">
        <v>18</v>
      </c>
      <c r="D20" s="4">
        <v>201</v>
      </c>
      <c r="E20" s="5">
        <v>0.77569444444444446</v>
      </c>
      <c r="F20" s="5">
        <v>0.78611111111111109</v>
      </c>
      <c r="G20" s="5">
        <f t="shared" si="0"/>
        <v>1.041666666666663E-2</v>
      </c>
      <c r="H20" s="4" t="s">
        <v>31</v>
      </c>
      <c r="I20" s="4" t="s">
        <v>45</v>
      </c>
      <c r="J20" s="4">
        <v>5</v>
      </c>
      <c r="K20" s="4"/>
    </row>
    <row r="21" spans="1:12" x14ac:dyDescent="0.2">
      <c r="A21" s="35"/>
      <c r="B21" s="36"/>
      <c r="C21" s="2">
        <v>19</v>
      </c>
      <c r="D21" s="2">
        <v>292.7</v>
      </c>
      <c r="E21" s="3">
        <v>0.81458333333333333</v>
      </c>
      <c r="F21" s="3">
        <v>0.8208333333333333</v>
      </c>
      <c r="G21" s="3">
        <f t="shared" si="0"/>
        <v>6.2499999999999778E-3</v>
      </c>
      <c r="H21" s="2" t="s">
        <v>32</v>
      </c>
      <c r="I21" s="2" t="s">
        <v>46</v>
      </c>
      <c r="J21" s="2">
        <v>5</v>
      </c>
      <c r="K21" s="2" t="s">
        <v>12</v>
      </c>
    </row>
    <row r="22" spans="1:12" x14ac:dyDescent="0.2">
      <c r="A22" s="35"/>
      <c r="B22" s="36"/>
      <c r="C22" s="4">
        <v>20</v>
      </c>
      <c r="D22" s="4">
        <v>167</v>
      </c>
      <c r="E22" s="5">
        <v>0.8305555555555556</v>
      </c>
      <c r="F22" s="5">
        <v>0.84097222222222223</v>
      </c>
      <c r="G22" s="5">
        <f t="shared" si="0"/>
        <v>1.041666666666663E-2</v>
      </c>
      <c r="H22" s="4" t="s">
        <v>33</v>
      </c>
      <c r="I22" s="5" t="s">
        <v>49</v>
      </c>
      <c r="J22" s="4">
        <v>7</v>
      </c>
      <c r="K22" s="4"/>
    </row>
    <row r="23" spans="1:12" x14ac:dyDescent="0.2">
      <c r="A23" s="35" t="s">
        <v>151</v>
      </c>
      <c r="B23" s="37">
        <v>45763</v>
      </c>
      <c r="C23" s="7">
        <v>21</v>
      </c>
      <c r="D23" s="7">
        <v>156.80000000000001</v>
      </c>
      <c r="E23" s="8">
        <v>0.56041666666666667</v>
      </c>
      <c r="F23" s="8">
        <v>0.5708333333333333</v>
      </c>
      <c r="G23" s="8">
        <f t="shared" si="0"/>
        <v>1.041666666666663E-2</v>
      </c>
      <c r="H23" s="7" t="s">
        <v>149</v>
      </c>
      <c r="I23" s="7" t="s">
        <v>61</v>
      </c>
      <c r="J23" s="7">
        <v>6</v>
      </c>
      <c r="K23" s="7" t="s">
        <v>51</v>
      </c>
      <c r="L23">
        <f>SUM(J23:J32)</f>
        <v>49</v>
      </c>
    </row>
    <row r="24" spans="1:12" x14ac:dyDescent="0.2">
      <c r="A24" s="35"/>
      <c r="B24" s="37"/>
      <c r="C24" s="7">
        <v>22</v>
      </c>
      <c r="D24" s="7">
        <v>164.5</v>
      </c>
      <c r="E24" s="8">
        <v>0.58958333333333335</v>
      </c>
      <c r="F24" s="8">
        <v>0.6</v>
      </c>
      <c r="G24" s="8">
        <f t="shared" si="0"/>
        <v>1.041666666666663E-2</v>
      </c>
      <c r="H24" s="7" t="s">
        <v>52</v>
      </c>
      <c r="I24" s="7" t="s">
        <v>62</v>
      </c>
      <c r="J24" s="7">
        <v>9</v>
      </c>
      <c r="K24" s="7"/>
    </row>
    <row r="25" spans="1:12" x14ac:dyDescent="0.2">
      <c r="A25" s="35"/>
      <c r="B25" s="37"/>
      <c r="C25" s="7">
        <v>23</v>
      </c>
      <c r="D25" s="7">
        <v>151.19999999999999</v>
      </c>
      <c r="E25" s="8">
        <v>0.61527777777777781</v>
      </c>
      <c r="F25" s="8">
        <v>0.62291666666666667</v>
      </c>
      <c r="G25" s="8">
        <f t="shared" si="0"/>
        <v>7.6388888888888618E-3</v>
      </c>
      <c r="H25" s="7" t="s">
        <v>53</v>
      </c>
      <c r="I25" s="7" t="s">
        <v>63</v>
      </c>
      <c r="J25" s="7">
        <v>5</v>
      </c>
      <c r="K25" s="7"/>
    </row>
    <row r="26" spans="1:12" x14ac:dyDescent="0.2">
      <c r="A26" s="35"/>
      <c r="B26" s="37"/>
      <c r="C26" s="7">
        <v>24</v>
      </c>
      <c r="D26" s="7">
        <v>125.3</v>
      </c>
      <c r="E26" s="8">
        <v>0.63680555555555551</v>
      </c>
      <c r="F26" s="8">
        <v>0.64722222222222225</v>
      </c>
      <c r="G26" s="8">
        <f t="shared" si="0"/>
        <v>1.0416666666666741E-2</v>
      </c>
      <c r="H26" s="7" t="s">
        <v>54</v>
      </c>
      <c r="I26" s="7" t="s">
        <v>64</v>
      </c>
      <c r="J26" s="7">
        <v>3</v>
      </c>
      <c r="K26" s="7"/>
    </row>
    <row r="27" spans="1:12" x14ac:dyDescent="0.2">
      <c r="A27" s="35"/>
      <c r="B27" s="37"/>
      <c r="C27" s="7">
        <v>25</v>
      </c>
      <c r="D27" s="7">
        <v>168.4</v>
      </c>
      <c r="E27" s="8">
        <v>0.67986111111111114</v>
      </c>
      <c r="F27" s="8">
        <v>0.69027777777777777</v>
      </c>
      <c r="G27" s="8">
        <f t="shared" si="0"/>
        <v>1.041666666666663E-2</v>
      </c>
      <c r="H27" s="7" t="s">
        <v>55</v>
      </c>
      <c r="I27" s="7" t="s">
        <v>65</v>
      </c>
      <c r="J27" s="7">
        <v>3</v>
      </c>
      <c r="K27" s="7"/>
    </row>
    <row r="28" spans="1:12" x14ac:dyDescent="0.2">
      <c r="A28" s="35"/>
      <c r="B28" s="37"/>
      <c r="C28" s="7">
        <v>26</v>
      </c>
      <c r="D28" s="7">
        <v>168.4</v>
      </c>
      <c r="E28" s="8">
        <v>0.7</v>
      </c>
      <c r="F28" s="8">
        <v>0.7104166666666667</v>
      </c>
      <c r="G28" s="8">
        <f t="shared" si="0"/>
        <v>1.0416666666666741E-2</v>
      </c>
      <c r="H28" s="7" t="s">
        <v>60</v>
      </c>
      <c r="I28" s="7" t="s">
        <v>66</v>
      </c>
      <c r="J28" s="7">
        <v>5</v>
      </c>
      <c r="K28" s="7"/>
    </row>
    <row r="29" spans="1:12" x14ac:dyDescent="0.2">
      <c r="A29" s="35"/>
      <c r="B29" s="37"/>
      <c r="C29" s="7">
        <v>27</v>
      </c>
      <c r="D29" s="7">
        <v>119</v>
      </c>
      <c r="E29" s="8">
        <v>0.73819444444444449</v>
      </c>
      <c r="F29" s="8">
        <v>0.74652777777777779</v>
      </c>
      <c r="G29" s="8">
        <f t="shared" si="0"/>
        <v>8.3333333333333037E-3</v>
      </c>
      <c r="H29" s="7" t="s">
        <v>56</v>
      </c>
      <c r="I29" s="7" t="s">
        <v>67</v>
      </c>
      <c r="J29" s="7">
        <v>3</v>
      </c>
      <c r="K29" s="7"/>
    </row>
    <row r="30" spans="1:12" x14ac:dyDescent="0.2">
      <c r="A30" s="35"/>
      <c r="B30" s="37"/>
      <c r="C30" s="7">
        <v>28</v>
      </c>
      <c r="D30" s="7">
        <v>138.19999999999999</v>
      </c>
      <c r="E30" s="8">
        <v>0.75416666666666665</v>
      </c>
      <c r="F30" s="8">
        <v>0.76111111111111107</v>
      </c>
      <c r="G30" s="8">
        <f t="shared" si="0"/>
        <v>6.9444444444444198E-3</v>
      </c>
      <c r="H30" s="7" t="s">
        <v>57</v>
      </c>
      <c r="I30" s="7" t="s">
        <v>68</v>
      </c>
      <c r="J30" s="7">
        <v>5</v>
      </c>
      <c r="K30" s="7"/>
    </row>
    <row r="31" spans="1:12" x14ac:dyDescent="0.2">
      <c r="A31" s="35"/>
      <c r="B31" s="37"/>
      <c r="C31" s="7">
        <v>29</v>
      </c>
      <c r="D31" s="7">
        <v>128.9</v>
      </c>
      <c r="E31" s="8">
        <v>0.77083333333333337</v>
      </c>
      <c r="F31" s="8">
        <v>0.77986111111111112</v>
      </c>
      <c r="G31" s="8">
        <f t="shared" si="0"/>
        <v>9.0277777777777457E-3</v>
      </c>
      <c r="H31" s="7" t="s">
        <v>58</v>
      </c>
      <c r="I31" s="7" t="s">
        <v>69</v>
      </c>
      <c r="J31" s="7">
        <v>4</v>
      </c>
      <c r="K31" s="7"/>
    </row>
    <row r="32" spans="1:12" x14ac:dyDescent="0.2">
      <c r="A32" s="35"/>
      <c r="B32" s="37"/>
      <c r="C32" s="7">
        <v>30</v>
      </c>
      <c r="D32" s="7">
        <v>188.6</v>
      </c>
      <c r="E32" s="8">
        <v>0.79166666666666663</v>
      </c>
      <c r="F32" s="8">
        <v>0.80138888888888893</v>
      </c>
      <c r="G32" s="8">
        <f t="shared" si="0"/>
        <v>9.7222222222222987E-3</v>
      </c>
      <c r="H32" s="7" t="s">
        <v>59</v>
      </c>
      <c r="I32" s="7" t="s">
        <v>70</v>
      </c>
      <c r="J32" s="7">
        <v>6</v>
      </c>
      <c r="K32" s="7"/>
    </row>
    <row r="33" spans="1:12" x14ac:dyDescent="0.2">
      <c r="A33" s="35" t="s">
        <v>152</v>
      </c>
      <c r="B33" s="38">
        <v>45778</v>
      </c>
      <c r="C33" s="9">
        <v>31</v>
      </c>
      <c r="D33" s="9">
        <v>103.2</v>
      </c>
      <c r="E33" s="11">
        <v>0.61527777777777781</v>
      </c>
      <c r="F33" s="11">
        <v>0.62569444444444444</v>
      </c>
      <c r="G33" s="11">
        <f t="shared" si="0"/>
        <v>1.041666666666663E-2</v>
      </c>
      <c r="H33" s="9" t="s">
        <v>150</v>
      </c>
      <c r="I33" s="9" t="s">
        <v>85</v>
      </c>
      <c r="J33" s="9">
        <v>3</v>
      </c>
      <c r="K33" s="9"/>
      <c r="L33">
        <f>SUM(J33:J42)</f>
        <v>29</v>
      </c>
    </row>
    <row r="34" spans="1:12" x14ac:dyDescent="0.2">
      <c r="A34" s="35"/>
      <c r="B34" s="38"/>
      <c r="C34" s="9">
        <v>32</v>
      </c>
      <c r="D34" s="9">
        <v>111.7</v>
      </c>
      <c r="E34" s="11">
        <v>0.59930555555555554</v>
      </c>
      <c r="F34" s="11">
        <v>0.60972222222222228</v>
      </c>
      <c r="G34" s="11">
        <f t="shared" si="0"/>
        <v>1.0416666666666741E-2</v>
      </c>
      <c r="H34" s="9" t="s">
        <v>75</v>
      </c>
      <c r="I34" s="9" t="s">
        <v>86</v>
      </c>
      <c r="J34" s="9">
        <v>4</v>
      </c>
      <c r="K34" s="9"/>
    </row>
    <row r="35" spans="1:12" x14ac:dyDescent="0.2">
      <c r="A35" s="35"/>
      <c r="B35" s="38"/>
      <c r="C35" s="9">
        <v>33</v>
      </c>
      <c r="D35" s="9">
        <v>114.4</v>
      </c>
      <c r="E35" s="11">
        <v>0.66249999999999998</v>
      </c>
      <c r="F35" s="11">
        <v>0.67291666666666672</v>
      </c>
      <c r="G35" s="11">
        <f t="shared" si="0"/>
        <v>1.0416666666666741E-2</v>
      </c>
      <c r="H35" s="9" t="s">
        <v>76</v>
      </c>
      <c r="I35" s="9" t="s">
        <v>87</v>
      </c>
      <c r="J35" s="9">
        <v>3</v>
      </c>
      <c r="K35" s="9" t="s">
        <v>77</v>
      </c>
    </row>
    <row r="36" spans="1:12" x14ac:dyDescent="0.2">
      <c r="A36" s="35"/>
      <c r="B36" s="38"/>
      <c r="C36" s="9">
        <v>34</v>
      </c>
      <c r="D36" s="9">
        <v>155.1</v>
      </c>
      <c r="E36" s="11">
        <v>0.60138888888888886</v>
      </c>
      <c r="F36" s="11">
        <v>0.6118055555555556</v>
      </c>
      <c r="G36" s="11">
        <f t="shared" si="0"/>
        <v>1.0416666666666741E-2</v>
      </c>
      <c r="H36" s="9" t="s">
        <v>78</v>
      </c>
      <c r="I36" s="9" t="s">
        <v>93</v>
      </c>
      <c r="J36" s="9">
        <v>3</v>
      </c>
      <c r="K36" s="9"/>
    </row>
    <row r="37" spans="1:12" x14ac:dyDescent="0.2">
      <c r="A37" s="35"/>
      <c r="B37" s="38"/>
      <c r="C37" s="9">
        <v>35</v>
      </c>
      <c r="D37" s="9">
        <v>147.6</v>
      </c>
      <c r="E37" s="11">
        <v>0.71527777777777779</v>
      </c>
      <c r="F37" s="11">
        <v>0.72569444444444442</v>
      </c>
      <c r="G37" s="11">
        <f t="shared" si="0"/>
        <v>1.041666666666663E-2</v>
      </c>
      <c r="H37" s="9" t="s">
        <v>80</v>
      </c>
      <c r="I37" s="9" t="s">
        <v>88</v>
      </c>
      <c r="J37" s="9">
        <v>3</v>
      </c>
      <c r="K37" s="9"/>
    </row>
    <row r="38" spans="1:12" x14ac:dyDescent="0.2">
      <c r="A38" s="35"/>
      <c r="B38" s="38">
        <v>45779</v>
      </c>
      <c r="C38" s="9">
        <v>36</v>
      </c>
      <c r="D38" s="9">
        <v>105.2</v>
      </c>
      <c r="E38" s="11">
        <v>0.49583333333333335</v>
      </c>
      <c r="F38" s="11">
        <v>0.50624999999999998</v>
      </c>
      <c r="G38" s="11">
        <f t="shared" si="0"/>
        <v>1.041666666666663E-2</v>
      </c>
      <c r="H38" s="9" t="s">
        <v>79</v>
      </c>
      <c r="I38" s="9" t="s">
        <v>89</v>
      </c>
      <c r="J38" s="9">
        <v>2</v>
      </c>
      <c r="K38" s="9" t="s">
        <v>74</v>
      </c>
    </row>
    <row r="39" spans="1:12" x14ac:dyDescent="0.2">
      <c r="A39" s="35"/>
      <c r="B39" s="38"/>
      <c r="C39" s="9">
        <v>37</v>
      </c>
      <c r="D39" s="9">
        <v>128.1</v>
      </c>
      <c r="E39" s="11">
        <v>0.52152777777777781</v>
      </c>
      <c r="F39" s="11">
        <v>0.53194444444444444</v>
      </c>
      <c r="G39" s="11">
        <f t="shared" si="0"/>
        <v>1.041666666666663E-2</v>
      </c>
      <c r="H39" s="9" t="s">
        <v>81</v>
      </c>
      <c r="I39" s="9" t="s">
        <v>90</v>
      </c>
      <c r="J39" s="9">
        <v>3</v>
      </c>
      <c r="K39" s="9"/>
    </row>
    <row r="40" spans="1:12" x14ac:dyDescent="0.2">
      <c r="A40" s="35"/>
      <c r="B40" s="38"/>
      <c r="C40" s="9">
        <v>38</v>
      </c>
      <c r="D40" s="9">
        <v>100.5</v>
      </c>
      <c r="E40" s="11">
        <v>0.5444444444444444</v>
      </c>
      <c r="F40" s="11">
        <v>0.55486111111111114</v>
      </c>
      <c r="G40" s="11">
        <f t="shared" si="0"/>
        <v>1.0416666666666741E-2</v>
      </c>
      <c r="H40" s="9" t="s">
        <v>82</v>
      </c>
      <c r="I40" s="9" t="s">
        <v>91</v>
      </c>
      <c r="J40" s="9">
        <v>2</v>
      </c>
      <c r="K40" s="9"/>
    </row>
    <row r="41" spans="1:12" x14ac:dyDescent="0.2">
      <c r="A41" s="35"/>
      <c r="B41" s="38"/>
      <c r="C41" s="9">
        <v>39</v>
      </c>
      <c r="D41" s="9">
        <v>125.8</v>
      </c>
      <c r="E41" s="11">
        <v>0.5625</v>
      </c>
      <c r="F41" s="11">
        <v>0.57291666666666663</v>
      </c>
      <c r="G41" s="11">
        <f t="shared" si="0"/>
        <v>1.041666666666663E-2</v>
      </c>
      <c r="H41" s="9" t="s">
        <v>83</v>
      </c>
      <c r="I41" s="9" t="s">
        <v>92</v>
      </c>
      <c r="J41" s="9">
        <v>3</v>
      </c>
      <c r="K41" s="9"/>
    </row>
    <row r="42" spans="1:12" x14ac:dyDescent="0.2">
      <c r="A42" s="35"/>
      <c r="B42" s="38"/>
      <c r="C42" s="9">
        <v>40</v>
      </c>
      <c r="D42" s="9">
        <v>113.1</v>
      </c>
      <c r="E42" s="11">
        <v>0.59097222222222223</v>
      </c>
      <c r="F42" s="11">
        <v>0.59930555555555554</v>
      </c>
      <c r="G42" s="11">
        <f t="shared" si="0"/>
        <v>8.3333333333333037E-3</v>
      </c>
      <c r="H42" s="9" t="s">
        <v>84</v>
      </c>
      <c r="I42" s="9" t="s">
        <v>94</v>
      </c>
      <c r="J42" s="9">
        <v>3</v>
      </c>
      <c r="K42" s="9" t="s">
        <v>95</v>
      </c>
    </row>
    <row r="43" spans="1:12" x14ac:dyDescent="0.2">
      <c r="A43" s="35" t="s">
        <v>71</v>
      </c>
      <c r="B43" s="19">
        <v>45792</v>
      </c>
      <c r="C43" s="10">
        <v>41</v>
      </c>
      <c r="D43" s="10">
        <v>94.8</v>
      </c>
      <c r="E43" s="12">
        <v>0.68541666666666667</v>
      </c>
      <c r="F43" s="12">
        <v>0.69444444444444442</v>
      </c>
      <c r="G43" s="12">
        <f t="shared" si="0"/>
        <v>9.0277777777777457E-3</v>
      </c>
      <c r="H43" s="10" t="s">
        <v>96</v>
      </c>
      <c r="I43" s="10" t="s">
        <v>106</v>
      </c>
      <c r="J43" s="10">
        <v>2</v>
      </c>
      <c r="K43" s="10"/>
      <c r="L43">
        <f>SUM(J43:J52)</f>
        <v>25</v>
      </c>
    </row>
    <row r="44" spans="1:12" x14ac:dyDescent="0.2">
      <c r="A44" s="35"/>
      <c r="B44" s="20"/>
      <c r="C44" s="10">
        <v>42</v>
      </c>
      <c r="D44" s="10">
        <v>105</v>
      </c>
      <c r="E44" s="12">
        <v>0.70138888888888884</v>
      </c>
      <c r="F44" s="12">
        <v>0.71180555555555558</v>
      </c>
      <c r="G44" s="12">
        <f t="shared" si="0"/>
        <v>1.0416666666666741E-2</v>
      </c>
      <c r="H44" s="10" t="s">
        <v>97</v>
      </c>
      <c r="I44" s="10" t="s">
        <v>105</v>
      </c>
      <c r="J44" s="10">
        <v>2</v>
      </c>
      <c r="K44" s="10"/>
    </row>
    <row r="45" spans="1:12" x14ac:dyDescent="0.2">
      <c r="A45" s="35"/>
      <c r="B45" s="20"/>
      <c r="C45" s="10">
        <v>43</v>
      </c>
      <c r="D45" s="10">
        <v>93</v>
      </c>
      <c r="E45" s="12">
        <v>0.72083333333333333</v>
      </c>
      <c r="F45" s="12">
        <v>0.72916666666666663</v>
      </c>
      <c r="G45" s="12">
        <f t="shared" si="0"/>
        <v>8.3333333333333037E-3</v>
      </c>
      <c r="H45" s="10" t="s">
        <v>98</v>
      </c>
      <c r="I45" s="10" t="s">
        <v>107</v>
      </c>
      <c r="J45" s="10">
        <v>3</v>
      </c>
      <c r="K45" s="10"/>
    </row>
    <row r="46" spans="1:12" x14ac:dyDescent="0.2">
      <c r="A46" s="35"/>
      <c r="B46" s="20"/>
      <c r="C46" s="10">
        <v>44</v>
      </c>
      <c r="D46" s="10">
        <v>119.3</v>
      </c>
      <c r="E46" s="12">
        <v>0.7368055555555556</v>
      </c>
      <c r="F46" s="12">
        <v>0.74583333333333335</v>
      </c>
      <c r="G46" s="12">
        <f t="shared" si="0"/>
        <v>9.0277777777777457E-3</v>
      </c>
      <c r="H46" s="10" t="s">
        <v>99</v>
      </c>
      <c r="I46" s="10" t="s">
        <v>108</v>
      </c>
      <c r="J46" s="10">
        <v>2</v>
      </c>
      <c r="K46" s="10"/>
    </row>
    <row r="47" spans="1:12" x14ac:dyDescent="0.2">
      <c r="A47" s="35"/>
      <c r="B47" s="19">
        <v>45793</v>
      </c>
      <c r="C47" s="10">
        <v>45</v>
      </c>
      <c r="D47" s="10">
        <v>105.7</v>
      </c>
      <c r="E47" s="12">
        <v>0.52847222222222223</v>
      </c>
      <c r="F47" s="12">
        <v>0.53611111111111109</v>
      </c>
      <c r="G47" s="12">
        <f t="shared" si="0"/>
        <v>7.6388888888888618E-3</v>
      </c>
      <c r="H47" s="10" t="s">
        <v>100</v>
      </c>
      <c r="I47" s="10" t="s">
        <v>109</v>
      </c>
      <c r="J47" s="10">
        <v>2</v>
      </c>
      <c r="K47" s="10"/>
    </row>
    <row r="48" spans="1:12" x14ac:dyDescent="0.2">
      <c r="A48" s="35"/>
      <c r="B48" s="19"/>
      <c r="C48" s="10">
        <v>46</v>
      </c>
      <c r="D48" s="10">
        <v>128.80000000000001</v>
      </c>
      <c r="E48" s="12">
        <v>0.55277777777777781</v>
      </c>
      <c r="F48" s="12">
        <v>0.56319444444444444</v>
      </c>
      <c r="G48" s="12">
        <f t="shared" si="0"/>
        <v>1.041666666666663E-2</v>
      </c>
      <c r="H48" s="10" t="s">
        <v>101</v>
      </c>
      <c r="I48" s="10" t="s">
        <v>110</v>
      </c>
      <c r="J48" s="10">
        <v>2</v>
      </c>
      <c r="K48" s="10"/>
    </row>
    <row r="49" spans="1:12" x14ac:dyDescent="0.2">
      <c r="A49" s="35"/>
      <c r="B49" s="19"/>
      <c r="C49" s="10">
        <v>47</v>
      </c>
      <c r="D49" s="10">
        <v>134.1</v>
      </c>
      <c r="E49" s="12">
        <v>0.57847222222222228</v>
      </c>
      <c r="F49" s="12">
        <v>0.58888888888888891</v>
      </c>
      <c r="G49" s="12">
        <f t="shared" si="0"/>
        <v>1.041666666666663E-2</v>
      </c>
      <c r="H49" s="10" t="s">
        <v>102</v>
      </c>
      <c r="I49" s="10" t="s">
        <v>112</v>
      </c>
      <c r="J49" s="10">
        <v>3</v>
      </c>
      <c r="K49" s="10"/>
    </row>
    <row r="50" spans="1:12" x14ac:dyDescent="0.2">
      <c r="A50" s="35"/>
      <c r="B50" s="19"/>
      <c r="C50" s="10">
        <v>48</v>
      </c>
      <c r="D50" s="10">
        <v>80.2</v>
      </c>
      <c r="E50" s="12">
        <v>0.60069444444444442</v>
      </c>
      <c r="F50" s="12">
        <v>0.61041666666666672</v>
      </c>
      <c r="G50" s="12">
        <f t="shared" si="0"/>
        <v>9.7222222222222987E-3</v>
      </c>
      <c r="H50" s="10" t="s">
        <v>111</v>
      </c>
      <c r="I50" s="10" t="s">
        <v>113</v>
      </c>
      <c r="J50" s="10">
        <v>2</v>
      </c>
      <c r="K50" s="10"/>
    </row>
    <row r="51" spans="1:12" x14ac:dyDescent="0.2">
      <c r="A51" s="35"/>
      <c r="B51" s="19"/>
      <c r="C51" s="10">
        <v>49</v>
      </c>
      <c r="D51" s="10">
        <v>103.3</v>
      </c>
      <c r="E51" s="12">
        <v>0.6166666666666667</v>
      </c>
      <c r="F51" s="12">
        <v>0.62361111111111112</v>
      </c>
      <c r="G51" s="12">
        <f t="shared" si="0"/>
        <v>6.9444444444444198E-3</v>
      </c>
      <c r="H51" s="10" t="s">
        <v>103</v>
      </c>
      <c r="I51" s="10" t="s">
        <v>114</v>
      </c>
      <c r="J51" s="10">
        <v>4</v>
      </c>
      <c r="K51" s="10"/>
    </row>
    <row r="52" spans="1:12" x14ac:dyDescent="0.2">
      <c r="A52" s="35"/>
      <c r="B52" s="19"/>
      <c r="C52" s="10">
        <v>50</v>
      </c>
      <c r="D52" s="10">
        <v>90.8</v>
      </c>
      <c r="E52" s="12">
        <v>0.63541666666666663</v>
      </c>
      <c r="F52" s="12">
        <v>0.6430555555555556</v>
      </c>
      <c r="G52" s="12">
        <f t="shared" si="0"/>
        <v>7.6388888888889728E-3</v>
      </c>
      <c r="H52" s="10" t="s">
        <v>104</v>
      </c>
      <c r="I52" s="10" t="s">
        <v>115</v>
      </c>
      <c r="J52" s="10">
        <v>3</v>
      </c>
      <c r="K52" s="10"/>
    </row>
    <row r="53" spans="1:12" x14ac:dyDescent="0.2">
      <c r="A53" s="35" t="s">
        <v>72</v>
      </c>
      <c r="B53" s="21">
        <v>45794</v>
      </c>
      <c r="C53" s="2">
        <v>51</v>
      </c>
      <c r="D53" s="2">
        <v>102.3</v>
      </c>
      <c r="E53" s="3">
        <v>0.52361111111111114</v>
      </c>
      <c r="F53" s="3">
        <v>0.61597222222222225</v>
      </c>
      <c r="G53" s="3">
        <f t="shared" si="0"/>
        <v>9.2361111111111116E-2</v>
      </c>
      <c r="H53" s="2" t="s">
        <v>116</v>
      </c>
      <c r="I53" s="2" t="s">
        <v>127</v>
      </c>
      <c r="J53" s="2">
        <v>2</v>
      </c>
      <c r="K53" s="2"/>
      <c r="L53">
        <f>SUM(J53:J62)</f>
        <v>23</v>
      </c>
    </row>
    <row r="54" spans="1:12" x14ac:dyDescent="0.2">
      <c r="A54" s="35"/>
      <c r="B54" s="21"/>
      <c r="C54" s="2">
        <v>52</v>
      </c>
      <c r="D54" s="2">
        <v>119.1</v>
      </c>
      <c r="E54" s="3">
        <v>0.54097222222222219</v>
      </c>
      <c r="F54" s="3">
        <v>0.55138888888888893</v>
      </c>
      <c r="G54" s="3">
        <f t="shared" si="0"/>
        <v>1.0416666666666741E-2</v>
      </c>
      <c r="H54" s="2" t="s">
        <v>117</v>
      </c>
      <c r="I54" s="2" t="s">
        <v>128</v>
      </c>
      <c r="J54" s="2">
        <v>2</v>
      </c>
      <c r="K54" s="2"/>
    </row>
    <row r="55" spans="1:12" x14ac:dyDescent="0.2">
      <c r="A55" s="35"/>
      <c r="B55" s="21"/>
      <c r="C55" s="2">
        <v>53</v>
      </c>
      <c r="D55" s="2">
        <v>102.1</v>
      </c>
      <c r="E55" s="3">
        <v>0.56041666666666667</v>
      </c>
      <c r="F55" s="3">
        <v>0.5708333333333333</v>
      </c>
      <c r="G55" s="3">
        <f t="shared" si="0"/>
        <v>1.041666666666663E-2</v>
      </c>
      <c r="H55" s="2" t="s">
        <v>118</v>
      </c>
      <c r="I55" s="2" t="s">
        <v>129</v>
      </c>
      <c r="J55" s="2">
        <v>2</v>
      </c>
      <c r="K55" s="2"/>
    </row>
    <row r="56" spans="1:12" x14ac:dyDescent="0.2">
      <c r="A56" s="35"/>
      <c r="B56" s="21"/>
      <c r="C56" s="2">
        <v>54</v>
      </c>
      <c r="D56" s="2">
        <v>125.3</v>
      </c>
      <c r="E56" s="3">
        <v>0.58333333333333337</v>
      </c>
      <c r="F56" s="3">
        <v>0.59375</v>
      </c>
      <c r="G56" s="3">
        <f t="shared" si="0"/>
        <v>1.041666666666663E-2</v>
      </c>
      <c r="H56" s="2" t="s">
        <v>119</v>
      </c>
      <c r="I56" s="2" t="s">
        <v>135</v>
      </c>
      <c r="J56" s="2">
        <v>2</v>
      </c>
      <c r="K56" s="2"/>
    </row>
    <row r="57" spans="1:12" x14ac:dyDescent="0.2">
      <c r="A57" s="35"/>
      <c r="B57" s="21"/>
      <c r="C57" s="2">
        <v>55</v>
      </c>
      <c r="D57" s="2">
        <v>108.5</v>
      </c>
      <c r="E57" s="3">
        <v>0.60347222222222219</v>
      </c>
      <c r="F57" s="3">
        <v>0.61250000000000004</v>
      </c>
      <c r="G57" s="3">
        <f t="shared" si="0"/>
        <v>9.0277777777778567E-3</v>
      </c>
      <c r="H57" s="2" t="s">
        <v>125</v>
      </c>
      <c r="I57" s="2" t="s">
        <v>130</v>
      </c>
      <c r="J57" s="2">
        <v>3</v>
      </c>
      <c r="K57" s="2"/>
    </row>
    <row r="58" spans="1:12" x14ac:dyDescent="0.2">
      <c r="A58" s="35"/>
      <c r="B58" s="21"/>
      <c r="C58" s="2">
        <v>56</v>
      </c>
      <c r="D58" s="2">
        <v>90.7</v>
      </c>
      <c r="E58" s="3">
        <v>0.62083333333333335</v>
      </c>
      <c r="F58" s="3">
        <v>0.63124999999999998</v>
      </c>
      <c r="G58" s="3">
        <f t="shared" si="0"/>
        <v>1.041666666666663E-2</v>
      </c>
      <c r="H58" s="2" t="s">
        <v>120</v>
      </c>
      <c r="I58" s="2" t="s">
        <v>131</v>
      </c>
      <c r="J58" s="2">
        <v>2</v>
      </c>
      <c r="K58" s="2"/>
    </row>
    <row r="59" spans="1:12" x14ac:dyDescent="0.2">
      <c r="A59" s="35"/>
      <c r="B59" s="21"/>
      <c r="C59" s="2">
        <v>57</v>
      </c>
      <c r="D59" s="2">
        <v>115</v>
      </c>
      <c r="E59" s="3">
        <v>0.64166666666666672</v>
      </c>
      <c r="F59" s="3">
        <v>0.65208333333333335</v>
      </c>
      <c r="G59" s="3">
        <f t="shared" si="0"/>
        <v>1.041666666666663E-2</v>
      </c>
      <c r="H59" s="2" t="s">
        <v>121</v>
      </c>
      <c r="I59" s="2" t="s">
        <v>132</v>
      </c>
      <c r="J59" s="2">
        <v>2</v>
      </c>
      <c r="K59" s="2"/>
    </row>
    <row r="60" spans="1:12" x14ac:dyDescent="0.2">
      <c r="A60" s="35"/>
      <c r="B60" s="21"/>
      <c r="C60" s="2">
        <v>58</v>
      </c>
      <c r="D60" s="2">
        <v>115.8</v>
      </c>
      <c r="E60" s="3">
        <v>0.67222222222222228</v>
      </c>
      <c r="F60" s="3">
        <v>0.68194444444444446</v>
      </c>
      <c r="G60" s="3">
        <f t="shared" si="0"/>
        <v>9.7222222222221877E-3</v>
      </c>
      <c r="H60" s="2" t="s">
        <v>122</v>
      </c>
      <c r="I60" s="2" t="s">
        <v>133</v>
      </c>
      <c r="J60" s="2">
        <v>3</v>
      </c>
      <c r="K60" s="2"/>
    </row>
    <row r="61" spans="1:12" x14ac:dyDescent="0.2">
      <c r="A61" s="35"/>
      <c r="B61" s="21"/>
      <c r="C61" s="2">
        <v>59</v>
      </c>
      <c r="D61" s="2">
        <v>97.8</v>
      </c>
      <c r="E61" s="3">
        <v>0.69444444444444442</v>
      </c>
      <c r="F61" s="3">
        <v>0.70416666666666672</v>
      </c>
      <c r="G61" s="3">
        <f t="shared" si="0"/>
        <v>9.7222222222222987E-3</v>
      </c>
      <c r="H61" s="2" t="s">
        <v>123</v>
      </c>
      <c r="I61" s="2" t="s">
        <v>134</v>
      </c>
      <c r="J61" s="2">
        <v>2</v>
      </c>
      <c r="K61" s="2"/>
    </row>
    <row r="62" spans="1:12" x14ac:dyDescent="0.2">
      <c r="A62" s="35"/>
      <c r="B62" s="21"/>
      <c r="C62" s="2">
        <v>60</v>
      </c>
      <c r="D62" s="2">
        <v>101.8</v>
      </c>
      <c r="E62" s="3">
        <v>0.71458333333333335</v>
      </c>
      <c r="F62" s="3">
        <v>0.72499999999999998</v>
      </c>
      <c r="G62" s="3">
        <f t="shared" si="0"/>
        <v>1.041666666666663E-2</v>
      </c>
      <c r="H62" s="2" t="s">
        <v>124</v>
      </c>
      <c r="I62" s="2" t="s">
        <v>136</v>
      </c>
      <c r="J62" s="2">
        <v>3</v>
      </c>
      <c r="K62" s="2" t="s">
        <v>126</v>
      </c>
    </row>
    <row r="63" spans="1:12" x14ac:dyDescent="0.2">
      <c r="A63" s="35" t="s">
        <v>146</v>
      </c>
      <c r="B63" s="22">
        <v>45807</v>
      </c>
      <c r="C63" s="14">
        <v>61</v>
      </c>
      <c r="D63" s="14">
        <v>4321</v>
      </c>
      <c r="E63" s="15">
        <v>0.70902777777777781</v>
      </c>
      <c r="F63" s="15">
        <v>0.71944444444444444</v>
      </c>
      <c r="G63" s="15">
        <f t="shared" si="0"/>
        <v>1.041666666666663E-2</v>
      </c>
      <c r="H63" s="14" t="s">
        <v>138</v>
      </c>
      <c r="I63" s="14"/>
      <c r="J63" s="14"/>
      <c r="K63" s="14" t="s">
        <v>137</v>
      </c>
    </row>
    <row r="64" spans="1:12" x14ac:dyDescent="0.2">
      <c r="A64" s="35"/>
      <c r="B64" s="23"/>
      <c r="C64" s="14">
        <v>62</v>
      </c>
      <c r="D64" s="14">
        <v>1298</v>
      </c>
      <c r="E64" s="15">
        <v>0.6</v>
      </c>
      <c r="F64" s="15">
        <v>0.61041666666666672</v>
      </c>
      <c r="G64" s="15">
        <f t="shared" si="0"/>
        <v>1.0416666666666741E-2</v>
      </c>
      <c r="H64" s="14"/>
      <c r="I64" s="14"/>
      <c r="J64" s="14"/>
      <c r="K64" s="14" t="s">
        <v>141</v>
      </c>
    </row>
    <row r="65" spans="1:11" x14ac:dyDescent="0.2">
      <c r="A65" s="35"/>
      <c r="B65" s="23"/>
      <c r="C65" s="14">
        <v>63</v>
      </c>
      <c r="D65" s="14">
        <v>34.1</v>
      </c>
      <c r="E65" s="15">
        <v>0.61875000000000002</v>
      </c>
      <c r="F65" s="15">
        <v>0.62916666666666665</v>
      </c>
      <c r="G65" s="15">
        <f t="shared" si="0"/>
        <v>1.041666666666663E-2</v>
      </c>
      <c r="H65" s="14"/>
      <c r="I65" s="14"/>
      <c r="J65" s="14"/>
      <c r="K65" s="14" t="s">
        <v>140</v>
      </c>
    </row>
    <row r="66" spans="1:11" x14ac:dyDescent="0.2">
      <c r="A66" s="35"/>
      <c r="B66" s="24"/>
      <c r="C66" s="14">
        <v>64</v>
      </c>
      <c r="D66" s="14">
        <v>197.8</v>
      </c>
      <c r="E66" s="15">
        <v>0.70138888888888884</v>
      </c>
      <c r="F66" s="15">
        <v>0.71180555555555558</v>
      </c>
      <c r="G66" s="15">
        <f>F66-E66</f>
        <v>1.0416666666666741E-2</v>
      </c>
      <c r="H66" s="14" t="s">
        <v>139</v>
      </c>
      <c r="I66" s="14"/>
      <c r="J66" s="14"/>
      <c r="K66" s="14"/>
    </row>
    <row r="67" spans="1:11" x14ac:dyDescent="0.2">
      <c r="A67" s="35" t="s">
        <v>145</v>
      </c>
      <c r="B67" s="25">
        <v>46173</v>
      </c>
      <c r="C67" s="16">
        <v>65</v>
      </c>
      <c r="D67" s="16"/>
      <c r="E67" s="16"/>
      <c r="F67" s="16"/>
      <c r="G67" s="16"/>
      <c r="H67" s="16"/>
      <c r="I67" s="16"/>
      <c r="J67" s="16"/>
      <c r="K67" s="16"/>
    </row>
    <row r="68" spans="1:11" x14ac:dyDescent="0.2">
      <c r="A68" s="35"/>
      <c r="B68" s="26"/>
      <c r="C68" s="16">
        <v>66</v>
      </c>
      <c r="D68" s="16"/>
      <c r="E68" s="16"/>
      <c r="F68" s="16"/>
      <c r="G68" s="16"/>
      <c r="H68" s="16"/>
      <c r="I68" s="16"/>
      <c r="J68" s="16"/>
      <c r="K68" s="16"/>
    </row>
    <row r="69" spans="1:11" x14ac:dyDescent="0.2">
      <c r="A69" s="35"/>
      <c r="B69" s="26"/>
      <c r="C69" s="16">
        <v>67</v>
      </c>
      <c r="D69" s="16"/>
      <c r="E69" s="16"/>
      <c r="F69" s="16"/>
      <c r="G69" s="16"/>
      <c r="H69" s="16"/>
      <c r="I69" s="16"/>
      <c r="J69" s="16"/>
      <c r="K69" s="16"/>
    </row>
    <row r="70" spans="1:11" x14ac:dyDescent="0.2">
      <c r="A70" s="35"/>
      <c r="B70" s="27"/>
      <c r="C70" s="16">
        <v>68</v>
      </c>
      <c r="D70" s="16"/>
      <c r="E70" s="16"/>
      <c r="F70" s="16"/>
      <c r="G70" s="16"/>
      <c r="H70" s="16"/>
      <c r="I70" s="16"/>
      <c r="J70" s="16"/>
      <c r="K70" s="16"/>
    </row>
    <row r="71" spans="1:11" x14ac:dyDescent="0.2">
      <c r="A71" s="32" t="s">
        <v>147</v>
      </c>
      <c r="B71" s="28">
        <v>46174</v>
      </c>
      <c r="C71" s="17">
        <v>69</v>
      </c>
      <c r="D71" s="17"/>
      <c r="E71" s="17"/>
      <c r="F71" s="17"/>
      <c r="G71" s="17"/>
      <c r="H71" s="17"/>
      <c r="I71" s="17"/>
      <c r="J71" s="17"/>
      <c r="K71" s="17"/>
    </row>
    <row r="72" spans="1:11" x14ac:dyDescent="0.2">
      <c r="A72" s="33"/>
      <c r="B72" s="29"/>
      <c r="C72" s="17">
        <v>70</v>
      </c>
      <c r="D72" s="17"/>
      <c r="E72" s="17"/>
      <c r="F72" s="17"/>
      <c r="G72" s="17"/>
      <c r="H72" s="17"/>
      <c r="I72" s="17"/>
      <c r="J72" s="17"/>
      <c r="K72" s="17"/>
    </row>
    <row r="73" spans="1:11" x14ac:dyDescent="0.2">
      <c r="A73" s="33"/>
      <c r="B73" s="29"/>
      <c r="C73" s="17">
        <v>71</v>
      </c>
      <c r="D73" s="17"/>
      <c r="E73" s="17"/>
      <c r="F73" s="17"/>
      <c r="G73" s="17"/>
      <c r="H73" s="17"/>
      <c r="I73" s="17"/>
      <c r="J73" s="17"/>
      <c r="K73" s="17"/>
    </row>
    <row r="74" spans="1:11" x14ac:dyDescent="0.2">
      <c r="A74" s="33"/>
      <c r="B74" s="29"/>
      <c r="C74" s="17">
        <v>72</v>
      </c>
      <c r="D74" s="17"/>
      <c r="E74" s="17"/>
      <c r="F74" s="17"/>
      <c r="G74" s="17"/>
      <c r="H74" s="17"/>
      <c r="I74" s="17"/>
      <c r="J74" s="17"/>
      <c r="K74" s="17"/>
    </row>
    <row r="75" spans="1:11" x14ac:dyDescent="0.2">
      <c r="A75" s="33"/>
      <c r="B75" s="29"/>
      <c r="C75" s="17">
        <v>73</v>
      </c>
      <c r="D75" s="17"/>
      <c r="E75" s="17"/>
      <c r="F75" s="17"/>
      <c r="G75" s="17"/>
      <c r="H75" s="17"/>
      <c r="I75" s="17"/>
      <c r="J75" s="17"/>
      <c r="K75" s="17"/>
    </row>
    <row r="76" spans="1:11" x14ac:dyDescent="0.2">
      <c r="A76" s="34"/>
      <c r="B76" s="30"/>
      <c r="C76" s="17">
        <v>74</v>
      </c>
      <c r="D76" s="17"/>
      <c r="E76" s="17"/>
      <c r="F76" s="17"/>
      <c r="G76" s="17"/>
      <c r="H76" s="17"/>
      <c r="I76" s="17"/>
      <c r="J76" s="17"/>
      <c r="K76" s="17"/>
    </row>
    <row r="77" spans="1:11" x14ac:dyDescent="0.2">
      <c r="A77" s="35" t="s">
        <v>148</v>
      </c>
      <c r="B77" s="31">
        <v>46176</v>
      </c>
      <c r="C77" s="18">
        <v>75</v>
      </c>
      <c r="D77" s="18"/>
      <c r="E77" s="18"/>
      <c r="F77" s="18"/>
      <c r="G77" s="18"/>
      <c r="H77" s="18"/>
      <c r="I77" s="18"/>
      <c r="J77" s="18"/>
      <c r="K77" s="18"/>
    </row>
    <row r="78" spans="1:11" x14ac:dyDescent="0.2">
      <c r="A78" s="35"/>
      <c r="B78" s="31"/>
      <c r="C78" s="18">
        <v>76</v>
      </c>
      <c r="D78" s="18"/>
      <c r="E78" s="18"/>
      <c r="F78" s="18"/>
      <c r="G78" s="18"/>
      <c r="H78" s="18"/>
      <c r="I78" s="18"/>
      <c r="J78" s="18"/>
      <c r="K78" s="18"/>
    </row>
    <row r="79" spans="1:11" x14ac:dyDescent="0.2">
      <c r="A79" s="35"/>
      <c r="B79" s="31"/>
      <c r="C79" s="18">
        <v>77</v>
      </c>
      <c r="D79" s="18"/>
      <c r="E79" s="18"/>
      <c r="F79" s="18"/>
      <c r="G79" s="18"/>
      <c r="H79" s="18"/>
      <c r="I79" s="18"/>
      <c r="J79" s="18"/>
      <c r="K79" s="18"/>
    </row>
  </sheetData>
  <mergeCells count="21">
    <mergeCell ref="B71:B76"/>
    <mergeCell ref="B77:B79"/>
    <mergeCell ref="A71:A76"/>
    <mergeCell ref="A77:A79"/>
    <mergeCell ref="B3:B10"/>
    <mergeCell ref="B11:B22"/>
    <mergeCell ref="B23:B32"/>
    <mergeCell ref="B33:B37"/>
    <mergeCell ref="B38:B42"/>
    <mergeCell ref="A3:A22"/>
    <mergeCell ref="A23:A32"/>
    <mergeCell ref="A33:A42"/>
    <mergeCell ref="A43:A52"/>
    <mergeCell ref="A53:A62"/>
    <mergeCell ref="A63:A66"/>
    <mergeCell ref="A67:A70"/>
    <mergeCell ref="B43:B46"/>
    <mergeCell ref="B47:B52"/>
    <mergeCell ref="B53:B62"/>
    <mergeCell ref="B63:B66"/>
    <mergeCell ref="B67:B70"/>
  </mergeCells>
  <phoneticPr fontId="1" type="noConversion"/>
  <pageMargins left="0.7" right="0.7" top="0.75" bottom="0.75" header="0.3" footer="0.3"/>
  <pageSetup paperSize="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8290-7C76-4FD3-8499-94D8E27AC7FD}">
  <dimension ref="A1:C1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customWidth="1"/>
    <col min="2" max="3" width="13.5" customWidth="1"/>
  </cols>
  <sheetData>
    <row r="1" spans="1:3" x14ac:dyDescent="0.2">
      <c r="A1" s="6" t="s">
        <v>50</v>
      </c>
      <c r="B1" s="6" t="s">
        <v>6</v>
      </c>
      <c r="C1" s="6" t="s">
        <v>7</v>
      </c>
    </row>
    <row r="2" spans="1:3" x14ac:dyDescent="0.2">
      <c r="A2" s="2">
        <v>1</v>
      </c>
      <c r="B2" s="2" t="s">
        <v>8</v>
      </c>
      <c r="C2" s="2" t="s">
        <v>10</v>
      </c>
    </row>
    <row r="3" spans="1:3" x14ac:dyDescent="0.2">
      <c r="A3" s="2">
        <v>3</v>
      </c>
      <c r="B3" s="2" t="s">
        <v>14</v>
      </c>
      <c r="C3" s="2" t="s">
        <v>15</v>
      </c>
    </row>
    <row r="4" spans="1:3" x14ac:dyDescent="0.2">
      <c r="A4" s="2">
        <v>5</v>
      </c>
      <c r="B4" s="2" t="s">
        <v>18</v>
      </c>
      <c r="C4" s="2" t="s">
        <v>35</v>
      </c>
    </row>
    <row r="5" spans="1:3" x14ac:dyDescent="0.2">
      <c r="A5" s="2">
        <v>7</v>
      </c>
      <c r="B5" s="2" t="s">
        <v>20</v>
      </c>
      <c r="C5" s="2" t="s">
        <v>36</v>
      </c>
    </row>
    <row r="6" spans="1:3" x14ac:dyDescent="0.2">
      <c r="A6" s="2">
        <v>9</v>
      </c>
      <c r="B6" s="2" t="s">
        <v>22</v>
      </c>
      <c r="C6" s="2" t="s">
        <v>38</v>
      </c>
    </row>
    <row r="7" spans="1:3" x14ac:dyDescent="0.2">
      <c r="A7" s="2">
        <v>11</v>
      </c>
      <c r="B7" s="2" t="s">
        <v>24</v>
      </c>
      <c r="C7" s="2" t="s">
        <v>40</v>
      </c>
    </row>
    <row r="8" spans="1:3" x14ac:dyDescent="0.2">
      <c r="A8" s="2">
        <v>13</v>
      </c>
      <c r="B8" s="2" t="s">
        <v>26</v>
      </c>
      <c r="C8" s="2" t="s">
        <v>41</v>
      </c>
    </row>
    <row r="9" spans="1:3" x14ac:dyDescent="0.2">
      <c r="A9" s="2">
        <v>15</v>
      </c>
      <c r="B9" s="2" t="s">
        <v>28</v>
      </c>
      <c r="C9" s="2" t="s">
        <v>43</v>
      </c>
    </row>
    <row r="10" spans="1:3" x14ac:dyDescent="0.2">
      <c r="A10" s="2">
        <v>17</v>
      </c>
      <c r="B10" s="2" t="s">
        <v>30</v>
      </c>
      <c r="C10" s="2" t="s">
        <v>48</v>
      </c>
    </row>
    <row r="11" spans="1:3" x14ac:dyDescent="0.2">
      <c r="A11" s="2">
        <v>19</v>
      </c>
      <c r="B11" s="2" t="s">
        <v>32</v>
      </c>
      <c r="C11" s="2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Ninh Nguyen</dc:creator>
  <cp:lastModifiedBy>Ha Ninh Nguyen</cp:lastModifiedBy>
  <cp:lastPrinted>2025-08-30T06:59:04Z</cp:lastPrinted>
  <dcterms:created xsi:type="dcterms:W3CDTF">2015-06-05T18:17:20Z</dcterms:created>
  <dcterms:modified xsi:type="dcterms:W3CDTF">2026-04-14T22:34:29Z</dcterms:modified>
</cp:coreProperties>
</file>